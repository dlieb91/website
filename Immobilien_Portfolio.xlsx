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ingaben" sheetId="1" state="visible" r:id="rId3"/>
    <sheet name="Dashboard" sheetId="2" state="visible" r:id="rId4"/>
    <sheet name="Cashflow" sheetId="3" state="visible" r:id="rId5"/>
    <sheet name="Steuer &amp; AfA" sheetId="4" state="visible" r:id="rId6"/>
    <sheet name="Verkauf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<sst xmlns="http://schemas.openxmlformats.org/spreadsheetml/2006/main" count="136" uniqueCount="124">
  <si>
    <t xml:space="preserve">🏠 Immobilien Portfolio – Eingaben</t>
  </si>
  <si>
    <t xml:space="preserve">Alle Werte hier erfassen. Dashboard, Cashflow, Steuer &amp; AfA sowie Verkauf berechnen sich automatisch.</t>
  </si>
  <si>
    <t xml:space="preserve">Globale Einstellungen (Steuer)</t>
  </si>
  <si>
    <t xml:space="preserve">Haushaltseinkommen p.a. (€)</t>
  </si>
  <si>
    <t xml:space="preserve">Basis-ZvE (Haushalt, nach Kinderfreibetrag)</t>
  </si>
  <si>
    <t xml:space="preserve">Verheiratet?</t>
  </si>
  <si>
    <t xml:space="preserve">Nein</t>
  </si>
  <si>
    <t xml:space="preserve">Anzahl Kinder</t>
  </si>
  <si>
    <t xml:space="preserve">Kinderfreibetrag je Kind (€)</t>
  </si>
  <si>
    <t xml:space="preserve">Pauschaler Steuersatz (ohne Haushaltseinkommen)</t>
  </si>
  <si>
    <t xml:space="preserve">Hinweis: gilt für alle Immobilien; jede Immobilie wird isoliert gegen dieses Haushaltseinkommen gerechnet (vereinfachte Modellrechnung).</t>
  </si>
  <si>
    <t xml:space="preserve">Immobilien</t>
  </si>
  <si>
    <t xml:space="preserve">Nr.</t>
  </si>
  <si>
    <t xml:space="preserve">Name</t>
  </si>
  <si>
    <t xml:space="preserve">Kaufjahr</t>
  </si>
  <si>
    <t xml:space="preserve">Aktueller Marktwert (€)</t>
  </si>
  <si>
    <t xml:space="preserve">Aktuelle Restschuld (€)</t>
  </si>
  <si>
    <t xml:space="preserve">Kaufpreis (€)</t>
  </si>
  <si>
    <t xml:space="preserve">Wohnfläche (m²)</t>
  </si>
  <si>
    <t xml:space="preserve">Mieteingabe</t>
  </si>
  <si>
    <t xml:space="preserve">Miete pro m² (€)</t>
  </si>
  <si>
    <t xml:space="preserve">Miete absolut (€/Monat)</t>
  </si>
  <si>
    <t xml:space="preserve">Mietsteigerung p.a. (%)</t>
  </si>
  <si>
    <t xml:space="preserve">Kaufnebenkosten (%)</t>
  </si>
  <si>
    <t xml:space="preserve">Nicht umlagef. Kosten p.a. (€)</t>
  </si>
  <si>
    <t xml:space="preserve">Eigenkapital gesamt (€)</t>
  </si>
  <si>
    <t xml:space="preserve">Sollzins p.a. (%)</t>
  </si>
  <si>
    <t xml:space="preserve">Tilgung p.a. (%)</t>
  </si>
  <si>
    <t xml:space="preserve">Lineare AfA (%)</t>
  </si>
  <si>
    <t xml:space="preserve">Neubau</t>
  </si>
  <si>
    <t xml:space="preserve">Degressive AfA aktiv</t>
  </si>
  <si>
    <t xml:space="preserve">Degressive AfA (%)</t>
  </si>
  <si>
    <t xml:space="preserve">Sonder-AfA aktiv</t>
  </si>
  <si>
    <t xml:space="preserve">Sonder-AfA (%)</t>
  </si>
  <si>
    <t xml:space="preserve">Sonder-AfA Jahre</t>
  </si>
  <si>
    <t xml:space="preserve">Notizen</t>
  </si>
  <si>
    <t xml:space="preserve">Kaufneben-
kosten (€)</t>
  </si>
  <si>
    <t xml:space="preserve">Gesamt-
kosten (€)</t>
  </si>
  <si>
    <t xml:space="preserve">Darlehen (€)</t>
  </si>
  <si>
    <t xml:space="preserve">Mtl. Kalt-
miete (€)</t>
  </si>
  <si>
    <t xml:space="preserve">Gebäudewert /
AfA-Basis (€)</t>
  </si>
  <si>
    <t xml:space="preserve">Mtl. Annu-
ität (€)</t>
  </si>
  <si>
    <t xml:space="preserve">Zinssatz
mtl.</t>
  </si>
  <si>
    <t xml:space="preserve">Aktuelles
Modelljahr</t>
  </si>
  <si>
    <t xml:space="preserve">Musterwohnung Berlin</t>
  </si>
  <si>
    <t xml:space="preserve">pro m²</t>
  </si>
  <si>
    <t xml:space="preserve">Beispielobjekt – bitte anpassen oder löschen</t>
  </si>
  <si>
    <t xml:space="preserve">📊 Dashboard – Portfolio-Übersicht</t>
  </si>
  <si>
    <t xml:space="preserve">Aggregierte Kennzahlen und Diagramme über alle Immobilien. Aktualisiert sich automatisch aus 'Eingaben'.</t>
  </si>
  <si>
    <t xml:space="preserve">Gesamtwert</t>
  </si>
  <si>
    <t xml:space="preserve">Gesamtrestschuld</t>
  </si>
  <si>
    <t xml:space="preserve">Nettovermögen</t>
  </si>
  <si>
    <t xml:space="preserve">Anzahl Immobilien</t>
  </si>
  <si>
    <t xml:space="preserve">Mieteinnahmen p.a.</t>
  </si>
  <si>
    <t xml:space="preserve">Ausgaben p.a.</t>
  </si>
  <si>
    <t xml:space="preserve">Cashflow p.a.</t>
  </si>
  <si>
    <t xml:space="preserve">Ø Bruttorendite</t>
  </si>
  <si>
    <t xml:space="preserve">Diagramme</t>
  </si>
  <si>
    <t xml:space="preserve">Diagramme aktualisieren sich automatisch, sobald weitere Immobilien in 'Eingaben' erfasst werden.</t>
  </si>
  <si>
    <t xml:space="preserve">Berechnungstabelle (Basis für KPIs &amp; Diagramme)</t>
  </si>
  <si>
    <t xml:space="preserve">Immobilie</t>
  </si>
  <si>
    <t xml:space="preserve">Wert (€)</t>
  </si>
  <si>
    <t xml:space="preserve">Restschuld (€)</t>
  </si>
  <si>
    <t xml:space="preserve">Eigenkapital (€)</t>
  </si>
  <si>
    <t xml:space="preserve">Modelljahr</t>
  </si>
  <si>
    <t xml:space="preserve">Miete p.a. (€)</t>
  </si>
  <si>
    <t xml:space="preserve">Ausgaben p.a. (€)</t>
  </si>
  <si>
    <t xml:space="preserve">Cashflow p.a. (€)</t>
  </si>
  <si>
    <t xml:space="preserve">Bruttorendite</t>
  </si>
  <si>
    <t xml:space="preserve">Beste IRR</t>
  </si>
  <si>
    <t xml:space="preserve">CF positiv (€)</t>
  </si>
  <si>
    <t xml:space="preserve">CF negativ (€)</t>
  </si>
  <si>
    <t xml:space="preserve">Modellgrenzen: vereinfachte Modellrechnung, keine Steuer-, Rechts- oder Anlageberatung. 'Wert' und 'Restschuld' sind manuell in 'Eingaben' zu pflegen (tatsächliche aktuelle Werte); alle übrigen Kennzahlen basieren auf den Modellannahmen (Kaufpreis, Zins, Miete, AfA etc.).</t>
  </si>
  <si>
    <t xml:space="preserve">📈 Cashflow – 10-Jahres-Verlauf je Immobilie</t>
  </si>
  <si>
    <t xml:space="preserve">Ein Block pro Immobilie (Jahr 1–10). Werte werden automatisch aus 'Eingaben' und 'Steuer &amp; AfA' berechnet.</t>
  </si>
  <si>
    <t xml:space="preserve">Jahr</t>
  </si>
  <si>
    <t xml:space="preserve">Restschuld
Jahresanfang (€)</t>
  </si>
  <si>
    <t xml:space="preserve">Miete
p.a. (€)</t>
  </si>
  <si>
    <t xml:space="preserve">Miete
mtl. (€)</t>
  </si>
  <si>
    <t xml:space="preserve">Zinsen
p.a. (€)</t>
  </si>
  <si>
    <t xml:space="preserve">Tilgung
p.a. (€)</t>
  </si>
  <si>
    <t xml:space="preserve">Bankrate
p.a. (€)</t>
  </si>
  <si>
    <t xml:space="preserve">Restschuld
Jahresende (€)</t>
  </si>
  <si>
    <t xml:space="preserve">Nicht umlagef.
Kosten (€)</t>
  </si>
  <si>
    <t xml:space="preserve">Steuerwirkung
(€)</t>
  </si>
  <si>
    <t xml:space="preserve">Cashflow
p.a. (€)</t>
  </si>
  <si>
    <t xml:space="preserve">Cashflow
mtl. (€)</t>
  </si>
  <si>
    <t xml:space="preserve">Zinssatz
mtl. (Lookup)</t>
  </si>
  <si>
    <t xml:space="preserve">Annuität
mtl. (Lookup)</t>
  </si>
  <si>
    <t xml:space="preserve">🧾 Steuer &amp; AfA – 10-Jahres-Verlauf je Immobilie</t>
  </si>
  <si>
    <t xml:space="preserve">AfA-Schedule und Steuervergleich (ohne/mit Immobilie) je Immobilie und Jahr. Isolierte Betrachtung je Objekt gegen das Haushaltseinkommen (vereinfachte Modellrechnung).</t>
  </si>
  <si>
    <t xml:space="preserve">Restbuchwert
Jahresanfang (€)</t>
  </si>
  <si>
    <t xml:space="preserve">Basis-AfA
(€)</t>
  </si>
  <si>
    <t xml:space="preserve">Sonder-AfA
(€)</t>
  </si>
  <si>
    <t xml:space="preserve">AfA
gesamt (€)</t>
  </si>
  <si>
    <t xml:space="preserve">Restbuchwert
Jahresende (€)</t>
  </si>
  <si>
    <t xml:space="preserve">Steuerliches
Ergebnis (€)</t>
  </si>
  <si>
    <t xml:space="preserve">Steuer ohne
Immobilie (€)</t>
  </si>
  <si>
    <t xml:space="preserve">Steuer mit
Immobilie (€)</t>
  </si>
  <si>
    <t xml:space="preserve">ZvE eff.
ohne</t>
  </si>
  <si>
    <t xml:space="preserve">Basissteuer
ohne</t>
  </si>
  <si>
    <t xml:space="preserve">ZvE eff.
mit</t>
  </si>
  <si>
    <t xml:space="preserve">Basissteuer
mit</t>
  </si>
  <si>
    <t xml:space="preserve">💰 Verkauf – Szenarien nach 10 Jahren</t>
  </si>
  <si>
    <t xml:space="preserve">Je Immobilie drei Wertsteigerungsszenarien (0 %, 1 %, 2 % p.a.). IRR über die vollständige Zahlungsreihe (Eigenkapitaleinsatz, 10 Jahre Cashflow, Verkaufserlös).</t>
  </si>
  <si>
    <t xml:space="preserve">Wertsteig.
p.a. (%)</t>
  </si>
  <si>
    <t xml:space="preserve">Verkaufspreis
nach 10J (€)</t>
  </si>
  <si>
    <t xml:space="preserve">Restschuld
nach 10J (€)</t>
  </si>
  <si>
    <t xml:space="preserve">Nettozufluss
Verkauf (€)</t>
  </si>
  <si>
    <t xml:space="preserve">Eigenkapital
initial (€)</t>
  </si>
  <si>
    <t xml:space="preserve">Σ Cashflows
Jahr 1-10 (€)</t>
  </si>
  <si>
    <t xml:space="preserve">Gesamt-
gewinn (€)</t>
  </si>
  <si>
    <t xml:space="preserve">IRR</t>
  </si>
  <si>
    <t xml:space="preserve">CF
Jahr 0</t>
  </si>
  <si>
    <t xml:space="preserve">CF
Jahr 1</t>
  </si>
  <si>
    <t xml:space="preserve">CF
Jahr 2</t>
  </si>
  <si>
    <t xml:space="preserve">CF
Jahr 3</t>
  </si>
  <si>
    <t xml:space="preserve">CF
Jahr 4</t>
  </si>
  <si>
    <t xml:space="preserve">CF
Jahr 5</t>
  </si>
  <si>
    <t xml:space="preserve">CF
Jahr 6</t>
  </si>
  <si>
    <t xml:space="preserve">CF
Jahr 7</t>
  </si>
  <si>
    <t xml:space="preserve">CF
Jahr 8</t>
  </si>
  <si>
    <t xml:space="preserve">CF
Jahr 9</t>
  </si>
  <si>
    <t xml:space="preserve">CF
Jahr 10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</si>
</sst>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&quot; €&quot;;\-#,##0&quot; €&quot;;\-"/>
    <numFmt numFmtId="166" formatCode="0;\-0;\-"/>
    <numFmt numFmtId="167" formatCode="0.0%;\-0.0%;\-"/>
    <numFmt numFmtId="168" formatCode="0&quot; m²&quot;;\-0&quot; m²&quot;;\-"/>
    <numFmt numFmtId="169" formatCode="0.00&quot; €&quot;"/>
    <numFmt numFmtId="170" formatCode="#,##0.00&quot; €&quot;;\-#,##0.00&quot; €&quot;;\-"/>
    <numFmt numFmtId="171" formatCode="0.000%"/>
    <numFmt numFmtId="172" formatCode="0%"/>
    <numFmt numFmtId="173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7A7A7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145A6"/>
      <name val="Arial"/>
      <family val="0"/>
      <charset val="1"/>
    </font>
    <font>
      <i val="true"/>
      <sz val="9"/>
      <color rgb="FF7A7A7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444444"/>
      <name val="Arial"/>
      <family val="0"/>
      <charset val="1"/>
    </font>
    <font>
      <b val="true"/>
      <sz val="9"/>
      <color rgb="FF5A6B7A"/>
      <name val="Arial"/>
      <family val="0"/>
      <charset val="1"/>
    </font>
    <font>
      <b val="true"/>
      <sz val="15"/>
      <color rgb="FF0B3D5C"/>
      <name val="Arial"/>
      <family val="0"/>
      <charset val="1"/>
    </font>
    <font>
      <sz val="10"/>
      <color rgb="FF1E7B45"/>
      <name val="Arial"/>
      <family val="0"/>
      <charset val="1"/>
    </font>
    <font>
      <b val="true"/>
      <sz val="12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3D5C"/>
        <bgColor rgb="FF1145A6"/>
      </patternFill>
    </fill>
    <fill>
      <patternFill patternType="solid">
        <fgColor rgb="FF1B6FA8"/>
        <bgColor rgb="FF2F5F8A"/>
      </patternFill>
    </fill>
    <fill>
      <patternFill patternType="solid">
        <fgColor rgb="FFFFF6D9"/>
        <bgColor rgb="FFF4F4F4"/>
      </patternFill>
    </fill>
    <fill>
      <patternFill patternType="solid">
        <fgColor rgb="FFF4F4F4"/>
        <bgColor rgb="FFF2F7FC"/>
      </patternFill>
    </fill>
    <fill>
      <patternFill patternType="solid">
        <fgColor rgb="FFFFFFFF"/>
        <bgColor rgb="FFF2F7FC"/>
      </patternFill>
    </fill>
    <fill>
      <patternFill patternType="solid">
        <fgColor rgb="FFF2F7FC"/>
        <bgColor rgb="FFF4F4F4"/>
      </patternFill>
    </fill>
    <fill>
      <patternFill patternType="solid">
        <fgColor rgb="FFDCEAF7"/>
        <bgColor rgb="FFF4F4F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3D3E6"/>
      </left>
      <right style="thin">
        <color rgb="FFC3D3E6"/>
      </right>
      <top style="thin">
        <color rgb="FFC3D3E6"/>
      </top>
      <bottom style="thin">
        <color rgb="FFC3D3E6"/>
      </bottom>
      <diagonal/>
    </border>
    <border diagonalUp="false" diagonalDown="false">
      <left style="thin">
        <color rgb="FFC3D3E6"/>
      </left>
      <right style="thin">
        <color rgb="FFC3D3E6"/>
      </right>
      <top style="thin">
        <color rgb="FFC3D3E6"/>
      </top>
      <bottom/>
      <diagonal/>
    </border>
    <border diagonalUp="false" diagonalDown="false">
      <left style="thin">
        <color rgb="FFC3D3E6"/>
      </left>
      <right style="thin">
        <color rgb="FFC3D3E6"/>
      </right>
      <top/>
      <bottom style="thin">
        <color rgb="FFC3D3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8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3" fillId="8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3" fillId="8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B45"/>
      <rgbColor rgb="FFB7D6EC"/>
      <rgbColor rgb="FF7A7A7A"/>
      <rgbColor rgb="FF7FB3DD"/>
      <rgbColor rgb="FF993366"/>
      <rgbColor rgb="FFFFF6D9"/>
      <rgbColor rgb="FFDCEAF7"/>
      <rgbColor rgb="FF660066"/>
      <rgbColor rgb="FFFF8080"/>
      <rgbColor rgb="FF1B6FA8"/>
      <rgbColor rgb="FFC3D3E6"/>
      <rgbColor rgb="FF000080"/>
      <rgbColor rgb="FFFF00FF"/>
      <rgbColor rgb="FFFFFF00"/>
      <rgbColor rgb="FF00FFFF"/>
      <rgbColor rgb="FF800080"/>
      <rgbColor rgb="FF800000"/>
      <rgbColor rgb="FF2F5F8A"/>
      <rgbColor rgb="FF0000FF"/>
      <rgbColor rgb="FF00CCFF"/>
      <rgbColor rgb="FFF2F7FC"/>
      <rgbColor rgb="FFF4F4F4"/>
      <rgbColor rgb="FFFFFF99"/>
      <rgbColor rgb="FF9CC3E3"/>
      <rgbColor rgb="FFFF99CC"/>
      <rgbColor rgb="FFCC99FF"/>
      <rgbColor rgb="FFD9D9D9"/>
      <rgbColor rgb="FF4F81BD"/>
      <rgbColor rgb="FF6FA0C9"/>
      <rgbColor rgb="FF99CC00"/>
      <rgbColor rgb="FFFFCC00"/>
      <rgbColor rgb="FFE8A33D"/>
      <rgbColor rgb="FFC97A2B"/>
      <rgbColor rgb="FF5A6B7A"/>
      <rgbColor rgb="FF878787"/>
      <rgbColor rgb="FF0B3D5C"/>
      <rgbColor rgb="FF4A90C4"/>
      <rgbColor rgb="FF003300"/>
      <rgbColor rgb="FF333300"/>
      <rgbColor rgb="FFB91C1C"/>
      <rgbColor rgb="FF993366"/>
      <rgbColor rgb="FF1145A6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</a:rPr>
              <a:t>Wert vs. Restschuld je Immobilie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Dashboard!C45</c:f>
              <c:strCache>
                <c:ptCount val="1"/>
                <c:pt idx="0">
                  <c:v>Wert (€)</c:v>
                </c:pt>
              </c:strCache>
            </c:strRef>
          </c:tx>
          <c:spPr>
            <a:solidFill>
              <a:srgbClr val="0b3d5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Dashboard!$B$46:$B$55</c:f>
              <c:strCache>
                <c:ptCount val="10"/>
                <c:pt idx="0">
                  <c:v>Musterwohnung Berlin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Dashboard!$C$46:$C$55</c:f>
              <c:numCache>
                <c:formatCode>#,##0" €";\-#,##0" €";\-</c:formatCode>
                <c:ptCount val="10"/>
                <c:pt idx="0">
                  <c:v>250000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Dashboard!D45</c:f>
              <c:strCache>
                <c:ptCount val="1"/>
                <c:pt idx="0">
                  <c:v>Restschuld (€)</c:v>
                </c:pt>
              </c:strCache>
            </c:strRef>
          </c:tx>
          <c:spPr>
            <a:solidFill>
              <a:srgbClr val="e8a33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Dashboard!$B$46:$B$55</c:f>
              <c:strCache>
                <c:ptCount val="10"/>
                <c:pt idx="0">
                  <c:v>Musterwohnung Berlin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Dashboard!$D$46:$D$55</c:f>
              <c:numCache>
                <c:formatCode>#,##0" €";\-#,##0" €";\-</c:formatCode>
                <c:ptCount val="10"/>
                <c:pt idx="0">
                  <c:v>248000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24282978"/>
        <c:axId val="33591367"/>
      </c:barChart>
      <c:catAx>
        <c:axId val="242829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 rot="-2700000"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591367"/>
        <c:crosses val="autoZero"/>
        <c:auto val="1"/>
        <c:lblAlgn val="ctr"/>
        <c:lblOffset val="100"/>
        <c:noMultiLvlLbl val="0"/>
      </c:catAx>
      <c:valAx>
        <c:axId val="33591367"/>
        <c:scaling>
          <c:orientation val="minMax"/>
        </c:scaling>
        <c:delete val="0"/>
        <c:axPos val="l"/>
        <c:numFmt formatCode="#,##0&quot; €&quot;;\-#,##0&quot; €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829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</a:rPr>
              <a:t>Portfolio-Zusammensetzung nach Wert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Dashboard!C45</c:f>
              <c:strCache>
                <c:ptCount val="1"/>
                <c:pt idx="0">
                  <c:v>Wert (€)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b3d5c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b6fa8"/>
              </a:solidFill>
              <a:ln w="0">
                <a:noFill/>
              </a:ln>
            </c:spPr>
          </c:dPt>
          <c:dPt>
            <c:idx val="2"/>
            <c:spPr>
              <a:solidFill>
                <a:srgbClr val="4a90c4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fb3dd"/>
              </a:solidFill>
              <a:ln w="0">
                <a:noFill/>
              </a:ln>
            </c:spPr>
          </c:dPt>
          <c:dPt>
            <c:idx val="4"/>
            <c:spPr>
              <a:solidFill>
                <a:srgbClr val="b7d6ec"/>
              </a:solidFill>
              <a:ln w="0">
                <a:noFill/>
              </a:ln>
            </c:spPr>
          </c:dPt>
          <c:dPt>
            <c:idx val="5"/>
            <c:spPr>
              <a:solidFill>
                <a:srgbClr val="e8a33d"/>
              </a:solidFill>
              <a:ln w="0">
                <a:noFill/>
              </a:ln>
            </c:spPr>
          </c:dPt>
          <c:dPt>
            <c:idx val="6"/>
            <c:spPr>
              <a:solidFill>
                <a:srgbClr val="c97a2b"/>
              </a:solidFill>
              <a:ln w="0">
                <a:noFill/>
              </a:ln>
            </c:spPr>
          </c:dPt>
          <c:dPt>
            <c:idx val="7"/>
            <c:spPr>
              <a:solidFill>
                <a:srgbClr val="2f5f8a"/>
              </a:solidFill>
              <a:ln w="0">
                <a:noFill/>
              </a:ln>
            </c:spPr>
          </c:dPt>
          <c:dPt>
            <c:idx val="8"/>
            <c:spPr>
              <a:solidFill>
                <a:srgbClr val="6fa0c9"/>
              </a:solidFill>
              <a:ln w="0">
                <a:noFill/>
              </a:ln>
            </c:spPr>
          </c:dPt>
          <c:dPt>
            <c:idx val="9"/>
            <c:spPr>
              <a:solidFill>
                <a:srgbClr val="9cc3e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Dashboard!$B$46:$B$55</c:f>
              <c:strCache>
                <c:ptCount val="10"/>
                <c:pt idx="0">
                  <c:v>Musterwohnung Berlin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Dashboard!$C$46:$C$55</c:f>
              <c:numCache>
                <c:formatCode>#,##0" €";\-#,##0" €";\-</c:formatCode>
                <c:ptCount val="10"/>
                <c:pt idx="0">
                  <c:v>250000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</a:rPr>
              <a:t>Cashflow p.a. je Immobilie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Dashboard!L45</c:f>
              <c:strCache>
                <c:ptCount val="1"/>
                <c:pt idx="0">
                  <c:v>CF positiv (€)</c:v>
                </c:pt>
              </c:strCache>
            </c:strRef>
          </c:tx>
          <c:spPr>
            <a:solidFill>
              <a:srgbClr val="1e7b4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Dashboard!$B$46:$B$55</c:f>
              <c:strCache>
                <c:ptCount val="10"/>
                <c:pt idx="0">
                  <c:v>Musterwohnung Berlin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Dashboard!$L$46:$L$55</c:f>
              <c:numCache>
                <c:formatCode>#,##0" €";\-#,##0" €";\-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Dashboard!M45</c:f>
              <c:strCache>
                <c:ptCount val="1"/>
                <c:pt idx="0">
                  <c:v>CF negativ (€)</c:v>
                </c:pt>
              </c:strCache>
            </c:strRef>
          </c:tx>
          <c:spPr>
            <a:solidFill>
              <a:srgbClr val="b91c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Dashboard!$B$46:$B$55</c:f>
              <c:strCache>
                <c:ptCount val="10"/>
                <c:pt idx="0">
                  <c:v>Musterwohnung Berlin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Dashboard!$M$46:$M$55</c:f>
              <c:numCache>
                <c:formatCode>#,##0" €";\-#,##0" €";\-</c:formatCode>
                <c:ptCount val="10"/>
                <c:pt idx="0">
                  <c:v>-2681.9029136724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100"/>
        <c:axId val="17588214"/>
        <c:axId val="7516574"/>
      </c:barChart>
      <c:catAx>
        <c:axId val="175882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 rot="-2700000"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6574"/>
        <c:crosses val="autoZero"/>
        <c:auto val="1"/>
        <c:lblAlgn val="ctr"/>
        <c:lblOffset val="100"/>
        <c:noMultiLvlLbl val="0"/>
      </c:catAx>
      <c:valAx>
        <c:axId val="7516574"/>
        <c:scaling>
          <c:orientation val="minMax"/>
        </c:scaling>
        <c:delete val="0"/>
        <c:axPos val="l"/>
        <c:numFmt formatCode="#,##0&quot; €&quot;;\-#,##0&quot; €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882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</a:rPr>
              <a:t>Rendite-Vergleich: Bruttorendite vs. beste IRR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Dashboard!J45</c:f>
              <c:strCache>
                <c:ptCount val="1"/>
                <c:pt idx="0">
                  <c:v>Bruttorendite</c:v>
                </c:pt>
              </c:strCache>
            </c:strRef>
          </c:tx>
          <c:spPr>
            <a:solidFill>
              <a:srgbClr val="1b6f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Dashboard!$B$46:$B$55</c:f>
              <c:strCache>
                <c:ptCount val="10"/>
                <c:pt idx="0">
                  <c:v>Musterwohnung Berlin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Dashboard!$J$46:$J$55</c:f>
              <c:numCache>
                <c:formatCode>0.0%;\-0.0%;\-</c:formatCode>
                <c:ptCount val="10"/>
                <c:pt idx="0">
                  <c:v>0.038455181568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Dashboard!K45</c:f>
              <c:strCache>
                <c:ptCount val="1"/>
                <c:pt idx="0">
                  <c:v>Beste IRR</c:v>
                </c:pt>
              </c:strCache>
            </c:strRef>
          </c:tx>
          <c:spPr>
            <a:solidFill>
              <a:srgbClr val="e8a33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Dashboard!$B$46:$B$55</c:f>
              <c:strCache>
                <c:ptCount val="10"/>
                <c:pt idx="0">
                  <c:v>Musterwohnung Berlin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Dashboard!$K$46:$K$55</c:f>
              <c:numCache>
                <c:formatCode>0.0%;\-0.0%;\-</c:formatCode>
                <c:ptCount val="10"/>
                <c:pt idx="0">
                  <c:v>0.0986744308649241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40356221"/>
        <c:axId val="19440479"/>
      </c:barChart>
      <c:catAx>
        <c:axId val="403562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 rot="-2700000"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40479"/>
        <c:crosses val="autoZero"/>
        <c:auto val="1"/>
        <c:lblAlgn val="ctr"/>
        <c:lblOffset val="100"/>
        <c:noMultiLvlLbl val="0"/>
      </c:catAx>
      <c:valAx>
        <c:axId val="1944047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562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5</xdr:col>
      <xdr:colOff>423360</xdr:colOff>
      <xdr:row>30</xdr:row>
      <xdr:rowOff>1080</xdr:rowOff>
    </xdr:to>
    <xdr:graphicFrame>
      <xdr:nvGraphicFramePr>
        <xdr:cNvPr id="0" name="Chart 1"/>
        <xdr:cNvGraphicFramePr/>
      </xdr:nvGraphicFramePr>
      <xdr:xfrm>
        <a:off x="444600" y="3095640"/>
        <a:ext cx="55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0</xdr:rowOff>
    </xdr:from>
    <xdr:to>
      <xdr:col>12</xdr:col>
      <xdr:colOff>601200</xdr:colOff>
      <xdr:row>30</xdr:row>
      <xdr:rowOff>1080</xdr:rowOff>
    </xdr:to>
    <xdr:graphicFrame>
      <xdr:nvGraphicFramePr>
        <xdr:cNvPr id="1" name="Chart 2"/>
        <xdr:cNvGraphicFramePr/>
      </xdr:nvGraphicFramePr>
      <xdr:xfrm>
        <a:off x="7467480" y="3095640"/>
        <a:ext cx="55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5</xdr:col>
      <xdr:colOff>423360</xdr:colOff>
      <xdr:row>46</xdr:row>
      <xdr:rowOff>183960</xdr:rowOff>
    </xdr:to>
    <xdr:graphicFrame>
      <xdr:nvGraphicFramePr>
        <xdr:cNvPr id="2" name="Chart 3"/>
        <xdr:cNvGraphicFramePr/>
      </xdr:nvGraphicFramePr>
      <xdr:xfrm>
        <a:off x="444600" y="6524640"/>
        <a:ext cx="55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31</xdr:row>
      <xdr:rowOff>0</xdr:rowOff>
    </xdr:from>
    <xdr:to>
      <xdr:col>12</xdr:col>
      <xdr:colOff>601200</xdr:colOff>
      <xdr:row>46</xdr:row>
      <xdr:rowOff>183960</xdr:rowOff>
    </xdr:to>
    <xdr:graphicFrame>
      <xdr:nvGraphicFramePr>
        <xdr:cNvPr id="3" name="Chart 4"/>
        <xdr:cNvGraphicFramePr/>
      </xdr:nvGraphicFramePr>
      <xdr:xfrm>
        <a:off x="7467480" y="6524640"/>
        <a:ext cx="55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6FA8"/>
    <pageSetUpPr fitToPage="true"/>
  </sheetPr>
  <dimension ref="A1:AG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2" min="11" style="0" width="9"/>
    <col collapsed="false" customWidth="true" hidden="false" outlineLevel="0" max="14" min="13" style="0" width="12"/>
    <col collapsed="false" customWidth="true" hidden="false" outlineLevel="0" max="18" min="15" style="0" width="8"/>
    <col collapsed="false" customWidth="true" hidden="false" outlineLevel="0" max="22" min="19" style="0" width="9"/>
    <col collapsed="false" customWidth="true" hidden="false" outlineLevel="0" max="23" min="23" style="0" width="8"/>
    <col collapsed="false" customWidth="true" hidden="false" outlineLevel="0" max="24" min="24" style="0" width="24"/>
    <col collapsed="false" customWidth="true" hidden="false" outlineLevel="0" max="25" min="25" style="0" width="2"/>
    <col collapsed="false" customWidth="true" hidden="false" outlineLevel="1" max="31" min="26" style="0" width="11"/>
    <col collapsed="false" customWidth="true" hidden="false" outlineLevel="1" max="33" min="32" style="0" width="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A4" s="3" t="s">
        <v>2</v>
      </c>
      <c r="B4" s="3"/>
      <c r="C4" s="3"/>
      <c r="D4" s="3"/>
    </row>
    <row r="5" customFormat="false" ht="18" hidden="false" customHeight="true" outlineLevel="0" collapsed="false">
      <c r="B5" s="4" t="s">
        <v>3</v>
      </c>
      <c r="C5" s="4"/>
      <c r="D5" s="5" t="n">
        <v>0</v>
      </c>
      <c r="F5" s="6" t="s">
        <v>4</v>
      </c>
      <c r="G5" s="6"/>
      <c r="H5" s="6"/>
    </row>
    <row r="6" customFormat="false" ht="18" hidden="false" customHeight="true" outlineLevel="0" collapsed="false">
      <c r="B6" s="4" t="s">
        <v>5</v>
      </c>
      <c r="C6" s="4"/>
      <c r="D6" s="7" t="s">
        <v>6</v>
      </c>
      <c r="F6" s="8" t="n">
        <f aca="false">MAX(0,D5-D7*D8)</f>
        <v>0</v>
      </c>
    </row>
    <row r="7" customFormat="false" ht="18" hidden="false" customHeight="true" outlineLevel="0" collapsed="false">
      <c r="B7" s="4" t="s">
        <v>7</v>
      </c>
      <c r="C7" s="4"/>
      <c r="D7" s="9" t="n">
        <v>0</v>
      </c>
    </row>
    <row r="8" customFormat="false" ht="18" hidden="false" customHeight="true" outlineLevel="0" collapsed="false">
      <c r="B8" s="4" t="s">
        <v>8</v>
      </c>
      <c r="C8" s="4"/>
      <c r="D8" s="5" t="n">
        <v>9756</v>
      </c>
    </row>
    <row r="9" customFormat="false" ht="18" hidden="false" customHeight="true" outlineLevel="0" collapsed="false">
      <c r="B9" s="4" t="s">
        <v>9</v>
      </c>
      <c r="C9" s="4"/>
      <c r="D9" s="10" t="n">
        <v>0.4</v>
      </c>
    </row>
    <row r="10" customFormat="false" ht="15" hidden="false" customHeight="false" outlineLevel="0" collapsed="false">
      <c r="B10" s="6" t="s">
        <v>10</v>
      </c>
      <c r="C10" s="6"/>
      <c r="D10" s="6"/>
      <c r="E10" s="6"/>
      <c r="F10" s="6"/>
      <c r="G10" s="6"/>
      <c r="H10" s="6"/>
    </row>
    <row r="12" customFormat="false" ht="21.75" hidden="false" customHeight="true" outlineLevel="0" collapsed="false">
      <c r="A12" s="3" t="s">
        <v>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customFormat="false" ht="31.5" hidden="false" customHeight="true" outlineLevel="0" collapsed="false">
      <c r="A13" s="11" t="s">
        <v>12</v>
      </c>
      <c r="B13" s="11" t="s">
        <v>13</v>
      </c>
      <c r="C13" s="11" t="s">
        <v>14</v>
      </c>
      <c r="D13" s="11" t="s">
        <v>15</v>
      </c>
      <c r="E13" s="11" t="s">
        <v>16</v>
      </c>
      <c r="F13" s="11" t="s">
        <v>17</v>
      </c>
      <c r="G13" s="11" t="s">
        <v>18</v>
      </c>
      <c r="H13" s="11" t="s">
        <v>19</v>
      </c>
      <c r="I13" s="11" t="s">
        <v>20</v>
      </c>
      <c r="J13" s="11" t="s">
        <v>21</v>
      </c>
      <c r="K13" s="11" t="s">
        <v>22</v>
      </c>
      <c r="L13" s="11" t="s">
        <v>23</v>
      </c>
      <c r="M13" s="11" t="s">
        <v>24</v>
      </c>
      <c r="N13" s="11" t="s">
        <v>25</v>
      </c>
      <c r="O13" s="11" t="s">
        <v>26</v>
      </c>
      <c r="P13" s="11" t="s">
        <v>27</v>
      </c>
      <c r="Q13" s="11" t="s">
        <v>28</v>
      </c>
      <c r="R13" s="11" t="s">
        <v>29</v>
      </c>
      <c r="S13" s="11" t="s">
        <v>30</v>
      </c>
      <c r="T13" s="11" t="s">
        <v>31</v>
      </c>
      <c r="U13" s="11" t="s">
        <v>32</v>
      </c>
      <c r="V13" s="11" t="s">
        <v>33</v>
      </c>
      <c r="W13" s="11" t="s">
        <v>34</v>
      </c>
      <c r="X13" s="11" t="s">
        <v>35</v>
      </c>
      <c r="Z13" s="12" t="s">
        <v>36</v>
      </c>
      <c r="AA13" s="12" t="s">
        <v>37</v>
      </c>
      <c r="AB13" s="12" t="s">
        <v>38</v>
      </c>
      <c r="AC13" s="12" t="s">
        <v>39</v>
      </c>
      <c r="AD13" s="12" t="s">
        <v>40</v>
      </c>
      <c r="AE13" s="12" t="s">
        <v>41</v>
      </c>
      <c r="AF13" s="12" t="s">
        <v>42</v>
      </c>
      <c r="AG13" s="12" t="s">
        <v>43</v>
      </c>
    </row>
    <row r="14" customFormat="false" ht="15" hidden="false" customHeight="false" outlineLevel="0" collapsed="false">
      <c r="A14" s="13" t="n">
        <v>1</v>
      </c>
      <c r="B14" s="14" t="s">
        <v>44</v>
      </c>
      <c r="C14" s="15" t="n">
        <v>2024</v>
      </c>
      <c r="D14" s="16" t="n">
        <v>250000</v>
      </c>
      <c r="E14" s="16" t="n">
        <v>248000</v>
      </c>
      <c r="F14" s="16" t="n">
        <v>248000</v>
      </c>
      <c r="G14" s="17" t="n">
        <v>62</v>
      </c>
      <c r="H14" s="14" t="s">
        <v>45</v>
      </c>
      <c r="I14" s="18" t="n">
        <v>12.42</v>
      </c>
      <c r="J14" s="16" t="n">
        <v>770</v>
      </c>
      <c r="K14" s="19" t="n">
        <v>0.02</v>
      </c>
      <c r="L14" s="19" t="n">
        <v>0.07</v>
      </c>
      <c r="M14" s="16" t="n">
        <v>1200</v>
      </c>
      <c r="N14" s="16" t="n">
        <v>17360</v>
      </c>
      <c r="O14" s="19" t="n">
        <v>0.042</v>
      </c>
      <c r="P14" s="19" t="n">
        <v>0.01</v>
      </c>
      <c r="Q14" s="19" t="n">
        <v>0.02</v>
      </c>
      <c r="R14" s="14" t="s">
        <v>6</v>
      </c>
      <c r="S14" s="14" t="s">
        <v>6</v>
      </c>
      <c r="T14" s="19" t="n">
        <v>0.05</v>
      </c>
      <c r="U14" s="14" t="s">
        <v>6</v>
      </c>
      <c r="V14" s="19" t="n">
        <v>0.05</v>
      </c>
      <c r="W14" s="15" t="n">
        <v>4</v>
      </c>
      <c r="X14" s="14" t="s">
        <v>46</v>
      </c>
      <c r="Z14" s="8" t="n">
        <f aca="false">IF($B14="","",F14*L14)</f>
        <v>17360</v>
      </c>
      <c r="AA14" s="8" t="n">
        <f aca="false">IF($B14="","",F14+Z14)</f>
        <v>265360</v>
      </c>
      <c r="AB14" s="8" t="n">
        <f aca="false">IF($B14="","",MAX(0,AA14-N14))</f>
        <v>248000</v>
      </c>
      <c r="AC14" s="20" t="n">
        <f aca="false">IF($B14="","",IF(H14="absolut",J14,G14*I14))</f>
        <v>770.04</v>
      </c>
      <c r="AD14" s="8" t="n">
        <f aca="false">IF($B14="","",F14*0.8)</f>
        <v>198400</v>
      </c>
      <c r="AE14" s="20" t="n">
        <f aca="false">IF($B14="","",IF(AB14=0,0,AB14*(O14+P14)/12))</f>
        <v>1074.66666666667</v>
      </c>
      <c r="AF14" s="21" t="n">
        <f aca="false">IF($B14="","",O14/12)</f>
        <v>0.0035</v>
      </c>
      <c r="AG14" s="22" t="n">
        <f aca="true">IF($B14="","",MIN(10,MAX(1,YEAR(TODAY())-C14+1)))</f>
        <v>3</v>
      </c>
    </row>
    <row r="15" customFormat="false" ht="15" hidden="false" customHeight="false" outlineLevel="0" collapsed="false">
      <c r="A15" s="23" t="n">
        <v>2</v>
      </c>
      <c r="B15" s="14"/>
      <c r="C15" s="15"/>
      <c r="D15" s="16"/>
      <c r="E15" s="16"/>
      <c r="F15" s="16"/>
      <c r="G15" s="17"/>
      <c r="H15" s="14"/>
      <c r="I15" s="18"/>
      <c r="J15" s="16"/>
      <c r="K15" s="19"/>
      <c r="L15" s="19"/>
      <c r="M15" s="16"/>
      <c r="N15" s="16"/>
      <c r="O15" s="19"/>
      <c r="P15" s="19"/>
      <c r="Q15" s="19"/>
      <c r="R15" s="14"/>
      <c r="S15" s="14"/>
      <c r="T15" s="19"/>
      <c r="U15" s="14"/>
      <c r="V15" s="19"/>
      <c r="W15" s="15"/>
      <c r="X15" s="14"/>
      <c r="Z15" s="8" t="str">
        <f aca="false">IF($B15="","",F15*L15)</f>
        <v/>
      </c>
      <c r="AA15" s="8" t="str">
        <f aca="false">IF($B15="","",F15+Z15)</f>
        <v/>
      </c>
      <c r="AB15" s="8" t="str">
        <f aca="false">IF($B15="","",MAX(0,AA15-N15))</f>
        <v/>
      </c>
      <c r="AC15" s="20" t="str">
        <f aca="false">IF($B15="","",IF(H15="absolut",J15,G15*I15))</f>
        <v/>
      </c>
      <c r="AD15" s="8" t="str">
        <f aca="false">IF($B15="","",F15*0.8)</f>
        <v/>
      </c>
      <c r="AE15" s="20" t="str">
        <f aca="false">IF($B15="","",IF(AB15=0,0,AB15*(O15+P15)/12))</f>
        <v/>
      </c>
      <c r="AF15" s="21" t="str">
        <f aca="false">IF($B15="","",O15/12)</f>
        <v/>
      </c>
      <c r="AG15" s="22" t="str">
        <f aca="true">IF($B15="","",MIN(10,MAX(1,YEAR(TODAY())-C15+1)))</f>
        <v/>
      </c>
    </row>
    <row r="16" customFormat="false" ht="15" hidden="false" customHeight="false" outlineLevel="0" collapsed="false">
      <c r="A16" s="13" t="n">
        <v>3</v>
      </c>
      <c r="B16" s="14"/>
      <c r="C16" s="15"/>
      <c r="D16" s="16"/>
      <c r="E16" s="16"/>
      <c r="F16" s="16"/>
      <c r="G16" s="17"/>
      <c r="H16" s="14"/>
      <c r="I16" s="18"/>
      <c r="J16" s="16"/>
      <c r="K16" s="19"/>
      <c r="L16" s="19"/>
      <c r="M16" s="16"/>
      <c r="N16" s="16"/>
      <c r="O16" s="19"/>
      <c r="P16" s="19"/>
      <c r="Q16" s="19"/>
      <c r="R16" s="14"/>
      <c r="S16" s="14"/>
      <c r="T16" s="19"/>
      <c r="U16" s="14"/>
      <c r="V16" s="19"/>
      <c r="W16" s="15"/>
      <c r="X16" s="14"/>
      <c r="Z16" s="8" t="str">
        <f aca="false">IF($B16="","",F16*L16)</f>
        <v/>
      </c>
      <c r="AA16" s="8" t="str">
        <f aca="false">IF($B16="","",F16+Z16)</f>
        <v/>
      </c>
      <c r="AB16" s="8" t="str">
        <f aca="false">IF($B16="","",MAX(0,AA16-N16))</f>
        <v/>
      </c>
      <c r="AC16" s="20" t="str">
        <f aca="false">IF($B16="","",IF(H16="absolut",J16,G16*I16))</f>
        <v/>
      </c>
      <c r="AD16" s="8" t="str">
        <f aca="false">IF($B16="","",F16*0.8)</f>
        <v/>
      </c>
      <c r="AE16" s="20" t="str">
        <f aca="false">IF($B16="","",IF(AB16=0,0,AB16*(O16+P16)/12))</f>
        <v/>
      </c>
      <c r="AF16" s="21" t="str">
        <f aca="false">IF($B16="","",O16/12)</f>
        <v/>
      </c>
      <c r="AG16" s="22" t="str">
        <f aca="true">IF($B16="","",MIN(10,MAX(1,YEAR(TODAY())-C16+1)))</f>
        <v/>
      </c>
    </row>
    <row r="17" customFormat="false" ht="15" hidden="false" customHeight="false" outlineLevel="0" collapsed="false">
      <c r="A17" s="23" t="n">
        <v>4</v>
      </c>
      <c r="B17" s="14"/>
      <c r="C17" s="15"/>
      <c r="D17" s="16"/>
      <c r="E17" s="16"/>
      <c r="F17" s="16"/>
      <c r="G17" s="17"/>
      <c r="H17" s="14"/>
      <c r="I17" s="18"/>
      <c r="J17" s="16"/>
      <c r="K17" s="19"/>
      <c r="L17" s="19"/>
      <c r="M17" s="16"/>
      <c r="N17" s="16"/>
      <c r="O17" s="19"/>
      <c r="P17" s="19"/>
      <c r="Q17" s="19"/>
      <c r="R17" s="14"/>
      <c r="S17" s="14"/>
      <c r="T17" s="19"/>
      <c r="U17" s="14"/>
      <c r="V17" s="19"/>
      <c r="W17" s="15"/>
      <c r="X17" s="14"/>
      <c r="Z17" s="8" t="str">
        <f aca="false">IF($B17="","",F17*L17)</f>
        <v/>
      </c>
      <c r="AA17" s="8" t="str">
        <f aca="false">IF($B17="","",F17+Z17)</f>
        <v/>
      </c>
      <c r="AB17" s="8" t="str">
        <f aca="false">IF($B17="","",MAX(0,AA17-N17))</f>
        <v/>
      </c>
      <c r="AC17" s="20" t="str">
        <f aca="false">IF($B17="","",IF(H17="absolut",J17,G17*I17))</f>
        <v/>
      </c>
      <c r="AD17" s="8" t="str">
        <f aca="false">IF($B17="","",F17*0.8)</f>
        <v/>
      </c>
      <c r="AE17" s="20" t="str">
        <f aca="false">IF($B17="","",IF(AB17=0,0,AB17*(O17+P17)/12))</f>
        <v/>
      </c>
      <c r="AF17" s="21" t="str">
        <f aca="false">IF($B17="","",O17/12)</f>
        <v/>
      </c>
      <c r="AG17" s="22" t="str">
        <f aca="true">IF($B17="","",MIN(10,MAX(1,YEAR(TODAY())-C17+1)))</f>
        <v/>
      </c>
    </row>
    <row r="18" customFormat="false" ht="15" hidden="false" customHeight="false" outlineLevel="0" collapsed="false">
      <c r="A18" s="13" t="n">
        <v>5</v>
      </c>
      <c r="B18" s="14"/>
      <c r="C18" s="15"/>
      <c r="D18" s="16"/>
      <c r="E18" s="16"/>
      <c r="F18" s="16"/>
      <c r="G18" s="17"/>
      <c r="H18" s="14"/>
      <c r="I18" s="18"/>
      <c r="J18" s="16"/>
      <c r="K18" s="19"/>
      <c r="L18" s="19"/>
      <c r="M18" s="16"/>
      <c r="N18" s="16"/>
      <c r="O18" s="19"/>
      <c r="P18" s="19"/>
      <c r="Q18" s="19"/>
      <c r="R18" s="14"/>
      <c r="S18" s="14"/>
      <c r="T18" s="19"/>
      <c r="U18" s="14"/>
      <c r="V18" s="19"/>
      <c r="W18" s="15"/>
      <c r="X18" s="14"/>
      <c r="Z18" s="8" t="str">
        <f aca="false">IF($B18="","",F18*L18)</f>
        <v/>
      </c>
      <c r="AA18" s="8" t="str">
        <f aca="false">IF($B18="","",F18+Z18)</f>
        <v/>
      </c>
      <c r="AB18" s="8" t="str">
        <f aca="false">IF($B18="","",MAX(0,AA18-N18))</f>
        <v/>
      </c>
      <c r="AC18" s="20" t="str">
        <f aca="false">IF($B18="","",IF(H18="absolut",J18,G18*I18))</f>
        <v/>
      </c>
      <c r="AD18" s="8" t="str">
        <f aca="false">IF($B18="","",F18*0.8)</f>
        <v/>
      </c>
      <c r="AE18" s="20" t="str">
        <f aca="false">IF($B18="","",IF(AB18=0,0,AB18*(O18+P18)/12))</f>
        <v/>
      </c>
      <c r="AF18" s="21" t="str">
        <f aca="false">IF($B18="","",O18/12)</f>
        <v/>
      </c>
      <c r="AG18" s="22" t="str">
        <f aca="true">IF($B18="","",MIN(10,MAX(1,YEAR(TODAY())-C18+1)))</f>
        <v/>
      </c>
    </row>
    <row r="19" customFormat="false" ht="15" hidden="false" customHeight="false" outlineLevel="0" collapsed="false">
      <c r="A19" s="23" t="n">
        <v>6</v>
      </c>
      <c r="B19" s="14"/>
      <c r="C19" s="15"/>
      <c r="D19" s="16"/>
      <c r="E19" s="16"/>
      <c r="F19" s="16"/>
      <c r="G19" s="17"/>
      <c r="H19" s="14"/>
      <c r="I19" s="18"/>
      <c r="J19" s="16"/>
      <c r="K19" s="19"/>
      <c r="L19" s="19"/>
      <c r="M19" s="16"/>
      <c r="N19" s="16"/>
      <c r="O19" s="19"/>
      <c r="P19" s="19"/>
      <c r="Q19" s="19"/>
      <c r="R19" s="14"/>
      <c r="S19" s="14"/>
      <c r="T19" s="19"/>
      <c r="U19" s="14"/>
      <c r="V19" s="19"/>
      <c r="W19" s="15"/>
      <c r="X19" s="14"/>
      <c r="Z19" s="8" t="str">
        <f aca="false">IF($B19="","",F19*L19)</f>
        <v/>
      </c>
      <c r="AA19" s="8" t="str">
        <f aca="false">IF($B19="","",F19+Z19)</f>
        <v/>
      </c>
      <c r="AB19" s="8" t="str">
        <f aca="false">IF($B19="","",MAX(0,AA19-N19))</f>
        <v/>
      </c>
      <c r="AC19" s="20" t="str">
        <f aca="false">IF($B19="","",IF(H19="absolut",J19,G19*I19))</f>
        <v/>
      </c>
      <c r="AD19" s="8" t="str">
        <f aca="false">IF($B19="","",F19*0.8)</f>
        <v/>
      </c>
      <c r="AE19" s="20" t="str">
        <f aca="false">IF($B19="","",IF(AB19=0,0,AB19*(O19+P19)/12))</f>
        <v/>
      </c>
      <c r="AF19" s="21" t="str">
        <f aca="false">IF($B19="","",O19/12)</f>
        <v/>
      </c>
      <c r="AG19" s="22" t="str">
        <f aca="true">IF($B19="","",MIN(10,MAX(1,YEAR(TODAY())-C19+1)))</f>
        <v/>
      </c>
    </row>
    <row r="20" customFormat="false" ht="15" hidden="false" customHeight="false" outlineLevel="0" collapsed="false">
      <c r="A20" s="13" t="n">
        <v>7</v>
      </c>
      <c r="B20" s="14"/>
      <c r="C20" s="15"/>
      <c r="D20" s="16"/>
      <c r="E20" s="16"/>
      <c r="F20" s="16"/>
      <c r="G20" s="17"/>
      <c r="H20" s="14"/>
      <c r="I20" s="18"/>
      <c r="J20" s="16"/>
      <c r="K20" s="19"/>
      <c r="L20" s="19"/>
      <c r="M20" s="16"/>
      <c r="N20" s="16"/>
      <c r="O20" s="19"/>
      <c r="P20" s="19"/>
      <c r="Q20" s="19"/>
      <c r="R20" s="14"/>
      <c r="S20" s="14"/>
      <c r="T20" s="19"/>
      <c r="U20" s="14"/>
      <c r="V20" s="19"/>
      <c r="W20" s="15"/>
      <c r="X20" s="14"/>
      <c r="Z20" s="8" t="str">
        <f aca="false">IF($B20="","",F20*L20)</f>
        <v/>
      </c>
      <c r="AA20" s="8" t="str">
        <f aca="false">IF($B20="","",F20+Z20)</f>
        <v/>
      </c>
      <c r="AB20" s="8" t="str">
        <f aca="false">IF($B20="","",MAX(0,AA20-N20))</f>
        <v/>
      </c>
      <c r="AC20" s="20" t="str">
        <f aca="false">IF($B20="","",IF(H20="absolut",J20,G20*I20))</f>
        <v/>
      </c>
      <c r="AD20" s="8" t="str">
        <f aca="false">IF($B20="","",F20*0.8)</f>
        <v/>
      </c>
      <c r="AE20" s="20" t="str">
        <f aca="false">IF($B20="","",IF(AB20=0,0,AB20*(O20+P20)/12))</f>
        <v/>
      </c>
      <c r="AF20" s="21" t="str">
        <f aca="false">IF($B20="","",O20/12)</f>
        <v/>
      </c>
      <c r="AG20" s="22" t="str">
        <f aca="true">IF($B20="","",MIN(10,MAX(1,YEAR(TODAY())-C20+1)))</f>
        <v/>
      </c>
    </row>
    <row r="21" customFormat="false" ht="15" hidden="false" customHeight="false" outlineLevel="0" collapsed="false">
      <c r="A21" s="23" t="n">
        <v>8</v>
      </c>
      <c r="B21" s="14"/>
      <c r="C21" s="15"/>
      <c r="D21" s="16"/>
      <c r="E21" s="16"/>
      <c r="F21" s="16"/>
      <c r="G21" s="17"/>
      <c r="H21" s="14"/>
      <c r="I21" s="18"/>
      <c r="J21" s="16"/>
      <c r="K21" s="19"/>
      <c r="L21" s="19"/>
      <c r="M21" s="16"/>
      <c r="N21" s="16"/>
      <c r="O21" s="19"/>
      <c r="P21" s="19"/>
      <c r="Q21" s="19"/>
      <c r="R21" s="14"/>
      <c r="S21" s="14"/>
      <c r="T21" s="19"/>
      <c r="U21" s="14"/>
      <c r="V21" s="19"/>
      <c r="W21" s="15"/>
      <c r="X21" s="14"/>
      <c r="Z21" s="8" t="str">
        <f aca="false">IF($B21="","",F21*L21)</f>
        <v/>
      </c>
      <c r="AA21" s="8" t="str">
        <f aca="false">IF($B21="","",F21+Z21)</f>
        <v/>
      </c>
      <c r="AB21" s="8" t="str">
        <f aca="false">IF($B21="","",MAX(0,AA21-N21))</f>
        <v/>
      </c>
      <c r="AC21" s="20" t="str">
        <f aca="false">IF($B21="","",IF(H21="absolut",J21,G21*I21))</f>
        <v/>
      </c>
      <c r="AD21" s="8" t="str">
        <f aca="false">IF($B21="","",F21*0.8)</f>
        <v/>
      </c>
      <c r="AE21" s="20" t="str">
        <f aca="false">IF($B21="","",IF(AB21=0,0,AB21*(O21+P21)/12))</f>
        <v/>
      </c>
      <c r="AF21" s="21" t="str">
        <f aca="false">IF($B21="","",O21/12)</f>
        <v/>
      </c>
      <c r="AG21" s="22" t="str">
        <f aca="true">IF($B21="","",MIN(10,MAX(1,YEAR(TODAY())-C21+1)))</f>
        <v/>
      </c>
    </row>
    <row r="22" customFormat="false" ht="15" hidden="false" customHeight="false" outlineLevel="0" collapsed="false">
      <c r="A22" s="13" t="n">
        <v>9</v>
      </c>
      <c r="B22" s="14"/>
      <c r="C22" s="15"/>
      <c r="D22" s="16"/>
      <c r="E22" s="16"/>
      <c r="F22" s="16"/>
      <c r="G22" s="17"/>
      <c r="H22" s="14"/>
      <c r="I22" s="18"/>
      <c r="J22" s="16"/>
      <c r="K22" s="19"/>
      <c r="L22" s="19"/>
      <c r="M22" s="16"/>
      <c r="N22" s="16"/>
      <c r="O22" s="19"/>
      <c r="P22" s="19"/>
      <c r="Q22" s="19"/>
      <c r="R22" s="14"/>
      <c r="S22" s="14"/>
      <c r="T22" s="19"/>
      <c r="U22" s="14"/>
      <c r="V22" s="19"/>
      <c r="W22" s="15"/>
      <c r="X22" s="14"/>
      <c r="Z22" s="8" t="str">
        <f aca="false">IF($B22="","",F22*L22)</f>
        <v/>
      </c>
      <c r="AA22" s="8" t="str">
        <f aca="false">IF($B22="","",F22+Z22)</f>
        <v/>
      </c>
      <c r="AB22" s="8" t="str">
        <f aca="false">IF($B22="","",MAX(0,AA22-N22))</f>
        <v/>
      </c>
      <c r="AC22" s="20" t="str">
        <f aca="false">IF($B22="","",IF(H22="absolut",J22,G22*I22))</f>
        <v/>
      </c>
      <c r="AD22" s="8" t="str">
        <f aca="false">IF($B22="","",F22*0.8)</f>
        <v/>
      </c>
      <c r="AE22" s="20" t="str">
        <f aca="false">IF($B22="","",IF(AB22=0,0,AB22*(O22+P22)/12))</f>
        <v/>
      </c>
      <c r="AF22" s="21" t="str">
        <f aca="false">IF($B22="","",O22/12)</f>
        <v/>
      </c>
      <c r="AG22" s="22" t="str">
        <f aca="true">IF($B22="","",MIN(10,MAX(1,YEAR(TODAY())-C22+1)))</f>
        <v/>
      </c>
    </row>
    <row r="23" customFormat="false" ht="15" hidden="false" customHeight="false" outlineLevel="0" collapsed="false">
      <c r="A23" s="23" t="n">
        <v>10</v>
      </c>
      <c r="B23" s="14"/>
      <c r="C23" s="15"/>
      <c r="D23" s="16"/>
      <c r="E23" s="16"/>
      <c r="F23" s="16"/>
      <c r="G23" s="17"/>
      <c r="H23" s="14"/>
      <c r="I23" s="18"/>
      <c r="J23" s="16"/>
      <c r="K23" s="19"/>
      <c r="L23" s="19"/>
      <c r="M23" s="16"/>
      <c r="N23" s="16"/>
      <c r="O23" s="19"/>
      <c r="P23" s="19"/>
      <c r="Q23" s="19"/>
      <c r="R23" s="14"/>
      <c r="S23" s="14"/>
      <c r="T23" s="19"/>
      <c r="U23" s="14"/>
      <c r="V23" s="19"/>
      <c r="W23" s="15"/>
      <c r="X23" s="14"/>
      <c r="Z23" s="8" t="str">
        <f aca="false">IF($B23="","",F23*L23)</f>
        <v/>
      </c>
      <c r="AA23" s="8" t="str">
        <f aca="false">IF($B23="","",F23+Z23)</f>
        <v/>
      </c>
      <c r="AB23" s="8" t="str">
        <f aca="false">IF($B23="","",MAX(0,AA23-N23))</f>
        <v/>
      </c>
      <c r="AC23" s="20" t="str">
        <f aca="false">IF($B23="","",IF(H23="absolut",J23,G23*I23))</f>
        <v/>
      </c>
      <c r="AD23" s="8" t="str">
        <f aca="false">IF($B23="","",F23*0.8)</f>
        <v/>
      </c>
      <c r="AE23" s="20" t="str">
        <f aca="false">IF($B23="","",IF(AB23=0,0,AB23*(O23+P23)/12))</f>
        <v/>
      </c>
      <c r="AF23" s="21" t="str">
        <f aca="false">IF($B23="","",O23/12)</f>
        <v/>
      </c>
      <c r="AG23" s="22" t="str">
        <f aca="true">IF($B23="","",MIN(10,MAX(1,YEAR(TODAY())-C23+1)))</f>
        <v/>
      </c>
    </row>
  </sheetData>
  <mergeCells count="11">
    <mergeCell ref="A1:L1"/>
    <mergeCell ref="A2:L2"/>
    <mergeCell ref="A4:D4"/>
    <mergeCell ref="B5:C5"/>
    <mergeCell ref="F5:H5"/>
    <mergeCell ref="B6:C6"/>
    <mergeCell ref="B7:C7"/>
    <mergeCell ref="B8:C8"/>
    <mergeCell ref="B9:C9"/>
    <mergeCell ref="B10:H10"/>
    <mergeCell ref="A12:AG12"/>
  </mergeCells>
  <dataValidations count="3">
    <dataValidation allowBlank="false" errorStyle="stop" operator="between" showDropDown="false" showErrorMessage="false" showInputMessage="false" sqref="D6" type="list">
      <formula1>"Ja,Nein"</formula1>
      <formula2>0</formula2>
    </dataValidation>
    <dataValidation allowBlank="true" errorStyle="stop" operator="between" showDropDown="false" showErrorMessage="false" showInputMessage="false" sqref="H14:H23" type="list">
      <formula1>"pro m²,absolut"</formula1>
      <formula2>0</formula2>
    </dataValidation>
    <dataValidation allowBlank="true" errorStyle="stop" operator="between" showDropDown="false" showErrorMessage="false" showInputMessage="false" sqref="R14:S23 U14:U23" type="list">
      <formula1>"Ja,Nein"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3D5C"/>
    <pageSetUpPr fitToPage="true"/>
  </sheetPr>
  <dimension ref="A1:P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5" min="3" style="0" width="12"/>
    <col collapsed="false" customWidth="true" hidden="false" outlineLevel="0" max="6" min="6" style="0" width="9"/>
    <col collapsed="false" customWidth="true" hidden="false" outlineLevel="0" max="9" min="7" style="0" width="12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1" max="13" min="12" style="0" width="11"/>
    <col collapsed="false" customWidth="true" hidden="false" outlineLevel="0" max="14" min="14" style="0" width="3"/>
  </cols>
  <sheetData>
    <row r="1" customFormat="false" ht="30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8" hidden="false" customHeight="true" outlineLevel="0" collapsed="false">
      <c r="B4" s="24" t="s">
        <v>49</v>
      </c>
      <c r="C4" s="24"/>
      <c r="E4" s="24" t="s">
        <v>50</v>
      </c>
      <c r="F4" s="24"/>
      <c r="H4" s="24" t="s">
        <v>51</v>
      </c>
      <c r="I4" s="24"/>
      <c r="K4" s="24" t="s">
        <v>52</v>
      </c>
      <c r="L4" s="24"/>
    </row>
    <row r="5" customFormat="false" ht="25.5" hidden="false" customHeight="true" outlineLevel="0" collapsed="false">
      <c r="B5" s="25" t="n">
        <f aca="false">SUM($C$46:$C$55)</f>
        <v>250000</v>
      </c>
      <c r="C5" s="25"/>
      <c r="E5" s="25" t="n">
        <f aca="false">SUM($D$46:$D$55)</f>
        <v>248000</v>
      </c>
      <c r="F5" s="25"/>
      <c r="H5" s="25" t="n">
        <f aca="false">SUM($C$46:$C$55)-SUM($D$46:$D$55)</f>
        <v>2000</v>
      </c>
      <c r="I5" s="25"/>
      <c r="K5" s="26" t="n">
        <f aca="false">COUNTIF($B$46:$B$55,"?*")</f>
        <v>1</v>
      </c>
      <c r="L5" s="26"/>
    </row>
    <row r="7" customFormat="false" ht="18" hidden="false" customHeight="true" outlineLevel="0" collapsed="false">
      <c r="B7" s="24" t="s">
        <v>53</v>
      </c>
      <c r="C7" s="24"/>
      <c r="E7" s="24" t="s">
        <v>54</v>
      </c>
      <c r="F7" s="24"/>
      <c r="H7" s="24" t="s">
        <v>55</v>
      </c>
      <c r="I7" s="24"/>
      <c r="K7" s="24" t="s">
        <v>56</v>
      </c>
      <c r="L7" s="24"/>
    </row>
    <row r="8" customFormat="false" ht="25.5" hidden="false" customHeight="true" outlineLevel="0" collapsed="false">
      <c r="B8" s="25" t="n">
        <f aca="false">SUM($G$46:$G$55)</f>
        <v>9613.795392</v>
      </c>
      <c r="C8" s="25"/>
      <c r="E8" s="25" t="n">
        <f aca="false">SUM($H$46:$H$55)</f>
        <v>14096</v>
      </c>
      <c r="F8" s="25"/>
      <c r="H8" s="25" t="n">
        <f aca="false">SUM($I$46:$I$55)</f>
        <v>-2681.9029136724</v>
      </c>
      <c r="I8" s="25"/>
      <c r="K8" s="27" t="n">
        <f aca="false">IFERROR(SUM($G$46:$G$55)/SUM($C$46:$C$55),0)</f>
        <v>0.038455181568</v>
      </c>
      <c r="L8" s="27"/>
    </row>
    <row r="11" customFormat="false" ht="21.75" hidden="false" customHeight="true" outlineLevel="0" collapsed="false">
      <c r="A11" s="3" t="s">
        <v>57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5" hidden="false" customHeight="false" outlineLevel="0" collapsed="false">
      <c r="A12" s="6" t="s">
        <v>58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44" customFormat="false" ht="21.75" hidden="false" customHeight="true" outlineLevel="0" collapsed="false">
      <c r="A44" s="3" t="s">
        <v>59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customFormat="false" ht="23.85" hidden="false" customHeight="false" outlineLevel="0" collapsed="false">
      <c r="A45" s="11" t="s">
        <v>12</v>
      </c>
      <c r="B45" s="11" t="s">
        <v>60</v>
      </c>
      <c r="C45" s="11" t="s">
        <v>61</v>
      </c>
      <c r="D45" s="11" t="s">
        <v>62</v>
      </c>
      <c r="E45" s="11" t="s">
        <v>63</v>
      </c>
      <c r="F45" s="11" t="s">
        <v>64</v>
      </c>
      <c r="G45" s="11" t="s">
        <v>65</v>
      </c>
      <c r="H45" s="11" t="s">
        <v>66</v>
      </c>
      <c r="I45" s="11" t="s">
        <v>67</v>
      </c>
      <c r="J45" s="11" t="s">
        <v>68</v>
      </c>
      <c r="K45" s="11" t="s">
        <v>69</v>
      </c>
      <c r="L45" s="12" t="s">
        <v>70</v>
      </c>
      <c r="M45" s="12" t="s">
        <v>71</v>
      </c>
    </row>
    <row r="46" customFormat="false" ht="15" hidden="false" customHeight="false" outlineLevel="0" collapsed="false">
      <c r="A46" s="28" t="n">
        <v>1</v>
      </c>
      <c r="B46" s="29" t="str">
        <f aca="false">IF(Eingaben!$B$14="","",Eingaben!$B$14)</f>
        <v>Musterwohnung Berlin</v>
      </c>
      <c r="C46" s="30" t="n">
        <f aca="false">IF(Eingaben!$B$14="",0,Eingaben!$D$14)</f>
        <v>250000</v>
      </c>
      <c r="D46" s="30" t="n">
        <f aca="false">IF(Eingaben!$B$14="",0,Eingaben!$E$14)</f>
        <v>248000</v>
      </c>
      <c r="E46" s="31" t="n">
        <f aca="false">C46-D46</f>
        <v>2000</v>
      </c>
      <c r="F46" s="32" t="n">
        <f aca="false">IF(Eingaben!$B$14="","",Eingaben!$AG$14)</f>
        <v>3</v>
      </c>
      <c r="G46" s="30" t="n">
        <f aca="false">IF(Eingaben!$B$14="",0,INDEX(Cashflow!$E$5:$E$104,(A46-1)*10+F46))</f>
        <v>9613.795392</v>
      </c>
      <c r="H46" s="30" t="n">
        <f aca="false">IF(Eingaben!$B$14="",0,INDEX(Cashflow!$I$5:$I$104,(A46-1)*10+F46)+INDEX(Cashflow!$K$5:$K$104,(A46-1)*10+F46))</f>
        <v>14096</v>
      </c>
      <c r="I46" s="30" t="n">
        <f aca="false">IF(Eingaben!$B$14="",0,INDEX(Cashflow!$M$5:$M$104,(A46-1)*10+F46))</f>
        <v>-2681.9029136724</v>
      </c>
      <c r="J46" s="33" t="n">
        <f aca="false">IF(OR(Eingaben!$B$14="",C46=0),0,G46/C46)</f>
        <v>0.038455181568</v>
      </c>
      <c r="K46" s="34" t="n">
        <f aca="false">IF(Eingaben!$B$14="",0,_xlfn.MAXIFS(Verkauf!$J$5:$J$34,Verkauf!$A$5:$A$34,A46))</f>
        <v>0.0986744308649241</v>
      </c>
      <c r="L46" s="8" t="n">
        <f aca="false">IF(I46&gt;=0,I46,0)</f>
        <v>0</v>
      </c>
      <c r="M46" s="8" t="n">
        <f aca="false">IF(I46&lt;0,I46,0)</f>
        <v>-2681.9029136724</v>
      </c>
    </row>
    <row r="47" customFormat="false" ht="15" hidden="false" customHeight="false" outlineLevel="0" collapsed="false">
      <c r="A47" s="35" t="n">
        <v>2</v>
      </c>
      <c r="B47" s="29" t="str">
        <f aca="false">IF(Eingaben!$B$15="","",Eingaben!$B$15)</f>
        <v/>
      </c>
      <c r="C47" s="30" t="n">
        <f aca="false">IF(Eingaben!$B$15="",0,Eingaben!$D$15)</f>
        <v>0</v>
      </c>
      <c r="D47" s="30" t="n">
        <f aca="false">IF(Eingaben!$B$15="",0,Eingaben!$E$15)</f>
        <v>0</v>
      </c>
      <c r="E47" s="36" t="n">
        <f aca="false">C47-D47</f>
        <v>0</v>
      </c>
      <c r="F47" s="32" t="str">
        <f aca="false">IF(Eingaben!$B$15="","",Eingaben!$AG$15)</f>
        <v/>
      </c>
      <c r="G47" s="30" t="n">
        <f aca="false">IF(Eingaben!$B$15="",0,INDEX(Cashflow!$E$5:$E$104,(A47-1)*10+F47))</f>
        <v>0</v>
      </c>
      <c r="H47" s="30" t="n">
        <f aca="false">IF(Eingaben!$B$15="",0,INDEX(Cashflow!$I$5:$I$104,(A47-1)*10+F47)+INDEX(Cashflow!$K$5:$K$104,(A47-1)*10+F47))</f>
        <v>0</v>
      </c>
      <c r="I47" s="30" t="n">
        <f aca="false">IF(Eingaben!$B$15="",0,INDEX(Cashflow!$M$5:$M$104,(A47-1)*10+F47))</f>
        <v>0</v>
      </c>
      <c r="J47" s="37" t="n">
        <f aca="false">IF(OR(Eingaben!$B$15="",C47=0),0,G47/C47)</f>
        <v>0</v>
      </c>
      <c r="K47" s="34" t="n">
        <f aca="false">IF(Eingaben!$B$15="",0,_xlfn.MAXIFS(Verkauf!$J$5:$J$34,Verkauf!$A$5:$A$34,A47))</f>
        <v>0</v>
      </c>
      <c r="L47" s="8" t="n">
        <f aca="false">IF(I47&gt;=0,I47,0)</f>
        <v>0</v>
      </c>
      <c r="M47" s="8" t="n">
        <f aca="false">IF(I47&lt;0,I47,0)</f>
        <v>0</v>
      </c>
    </row>
    <row r="48" customFormat="false" ht="15" hidden="false" customHeight="false" outlineLevel="0" collapsed="false">
      <c r="A48" s="28" t="n">
        <v>3</v>
      </c>
      <c r="B48" s="29" t="str">
        <f aca="false">IF(Eingaben!$B$16="","",Eingaben!$B$16)</f>
        <v/>
      </c>
      <c r="C48" s="30" t="n">
        <f aca="false">IF(Eingaben!$B$16="",0,Eingaben!$D$16)</f>
        <v>0</v>
      </c>
      <c r="D48" s="30" t="n">
        <f aca="false">IF(Eingaben!$B$16="",0,Eingaben!$E$16)</f>
        <v>0</v>
      </c>
      <c r="E48" s="31" t="n">
        <f aca="false">C48-D48</f>
        <v>0</v>
      </c>
      <c r="F48" s="32" t="str">
        <f aca="false">IF(Eingaben!$B$16="","",Eingaben!$AG$16)</f>
        <v/>
      </c>
      <c r="G48" s="30" t="n">
        <f aca="false">IF(Eingaben!$B$16="",0,INDEX(Cashflow!$E$5:$E$104,(A48-1)*10+F48))</f>
        <v>0</v>
      </c>
      <c r="H48" s="30" t="n">
        <f aca="false">IF(Eingaben!$B$16="",0,INDEX(Cashflow!$I$5:$I$104,(A48-1)*10+F48)+INDEX(Cashflow!$K$5:$K$104,(A48-1)*10+F48))</f>
        <v>0</v>
      </c>
      <c r="I48" s="30" t="n">
        <f aca="false">IF(Eingaben!$B$16="",0,INDEX(Cashflow!$M$5:$M$104,(A48-1)*10+F48))</f>
        <v>0</v>
      </c>
      <c r="J48" s="33" t="n">
        <f aca="false">IF(OR(Eingaben!$B$16="",C48=0),0,G48/C48)</f>
        <v>0</v>
      </c>
      <c r="K48" s="34" t="n">
        <f aca="false">IF(Eingaben!$B$16="",0,_xlfn.MAXIFS(Verkauf!$J$5:$J$34,Verkauf!$A$5:$A$34,A48))</f>
        <v>0</v>
      </c>
      <c r="L48" s="8" t="n">
        <f aca="false">IF(I48&gt;=0,I48,0)</f>
        <v>0</v>
      </c>
      <c r="M48" s="8" t="n">
        <f aca="false">IF(I48&lt;0,I48,0)</f>
        <v>0</v>
      </c>
    </row>
    <row r="49" customFormat="false" ht="15" hidden="false" customHeight="false" outlineLevel="0" collapsed="false">
      <c r="A49" s="35" t="n">
        <v>4</v>
      </c>
      <c r="B49" s="29" t="str">
        <f aca="false">IF(Eingaben!$B$17="","",Eingaben!$B$17)</f>
        <v/>
      </c>
      <c r="C49" s="30" t="n">
        <f aca="false">IF(Eingaben!$B$17="",0,Eingaben!$D$17)</f>
        <v>0</v>
      </c>
      <c r="D49" s="30" t="n">
        <f aca="false">IF(Eingaben!$B$17="",0,Eingaben!$E$17)</f>
        <v>0</v>
      </c>
      <c r="E49" s="36" t="n">
        <f aca="false">C49-D49</f>
        <v>0</v>
      </c>
      <c r="F49" s="32" t="str">
        <f aca="false">IF(Eingaben!$B$17="","",Eingaben!$AG$17)</f>
        <v/>
      </c>
      <c r="G49" s="30" t="n">
        <f aca="false">IF(Eingaben!$B$17="",0,INDEX(Cashflow!$E$5:$E$104,(A49-1)*10+F49))</f>
        <v>0</v>
      </c>
      <c r="H49" s="30" t="n">
        <f aca="false">IF(Eingaben!$B$17="",0,INDEX(Cashflow!$I$5:$I$104,(A49-1)*10+F49)+INDEX(Cashflow!$K$5:$K$104,(A49-1)*10+F49))</f>
        <v>0</v>
      </c>
      <c r="I49" s="30" t="n">
        <f aca="false">IF(Eingaben!$B$17="",0,INDEX(Cashflow!$M$5:$M$104,(A49-1)*10+F49))</f>
        <v>0</v>
      </c>
      <c r="J49" s="37" t="n">
        <f aca="false">IF(OR(Eingaben!$B$17="",C49=0),0,G49/C49)</f>
        <v>0</v>
      </c>
      <c r="K49" s="34" t="n">
        <f aca="false">IF(Eingaben!$B$17="",0,_xlfn.MAXIFS(Verkauf!$J$5:$J$34,Verkauf!$A$5:$A$34,A49))</f>
        <v>0</v>
      </c>
      <c r="L49" s="8" t="n">
        <f aca="false">IF(I49&gt;=0,I49,0)</f>
        <v>0</v>
      </c>
      <c r="M49" s="8" t="n">
        <f aca="false">IF(I49&lt;0,I49,0)</f>
        <v>0</v>
      </c>
    </row>
    <row r="50" customFormat="false" ht="15" hidden="false" customHeight="false" outlineLevel="0" collapsed="false">
      <c r="A50" s="28" t="n">
        <v>5</v>
      </c>
      <c r="B50" s="29" t="str">
        <f aca="false">IF(Eingaben!$B$18="","",Eingaben!$B$18)</f>
        <v/>
      </c>
      <c r="C50" s="30" t="n">
        <f aca="false">IF(Eingaben!$B$18="",0,Eingaben!$D$18)</f>
        <v>0</v>
      </c>
      <c r="D50" s="30" t="n">
        <f aca="false">IF(Eingaben!$B$18="",0,Eingaben!$E$18)</f>
        <v>0</v>
      </c>
      <c r="E50" s="31" t="n">
        <f aca="false">C50-D50</f>
        <v>0</v>
      </c>
      <c r="F50" s="32" t="str">
        <f aca="false">IF(Eingaben!$B$18="","",Eingaben!$AG$18)</f>
        <v/>
      </c>
      <c r="G50" s="30" t="n">
        <f aca="false">IF(Eingaben!$B$18="",0,INDEX(Cashflow!$E$5:$E$104,(A50-1)*10+F50))</f>
        <v>0</v>
      </c>
      <c r="H50" s="30" t="n">
        <f aca="false">IF(Eingaben!$B$18="",0,INDEX(Cashflow!$I$5:$I$104,(A50-1)*10+F50)+INDEX(Cashflow!$K$5:$K$104,(A50-1)*10+F50))</f>
        <v>0</v>
      </c>
      <c r="I50" s="30" t="n">
        <f aca="false">IF(Eingaben!$B$18="",0,INDEX(Cashflow!$M$5:$M$104,(A50-1)*10+F50))</f>
        <v>0</v>
      </c>
      <c r="J50" s="33" t="n">
        <f aca="false">IF(OR(Eingaben!$B$18="",C50=0),0,G50/C50)</f>
        <v>0</v>
      </c>
      <c r="K50" s="34" t="n">
        <f aca="false">IF(Eingaben!$B$18="",0,_xlfn.MAXIFS(Verkauf!$J$5:$J$34,Verkauf!$A$5:$A$34,A50))</f>
        <v>0</v>
      </c>
      <c r="L50" s="8" t="n">
        <f aca="false">IF(I50&gt;=0,I50,0)</f>
        <v>0</v>
      </c>
      <c r="M50" s="8" t="n">
        <f aca="false">IF(I50&lt;0,I50,0)</f>
        <v>0</v>
      </c>
    </row>
    <row r="51" customFormat="false" ht="15" hidden="false" customHeight="true" outlineLevel="0" collapsed="false">
      <c r="A51" s="38" t="s">
        <v>72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</row>
    <row r="52" customFormat="false" ht="15" hidden="false" customHeight="false" outlineLevel="0" collapsed="false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</row>
    <row r="53" customFormat="false" ht="15" hidden="false" customHeight="false" outlineLevel="0" collapsed="false">
      <c r="A53" s="35" t="n">
        <v>8</v>
      </c>
      <c r="B53" s="29" t="str">
        <f aca="false">IF(Eingaben!$B$21="","",Eingaben!$B$21)</f>
        <v/>
      </c>
      <c r="C53" s="30" t="n">
        <f aca="false">IF(Eingaben!$B$21="",0,Eingaben!$D$21)</f>
        <v>0</v>
      </c>
      <c r="D53" s="30" t="n">
        <f aca="false">IF(Eingaben!$B$21="",0,Eingaben!$E$21)</f>
        <v>0</v>
      </c>
      <c r="E53" s="36" t="n">
        <f aca="false">C53-D53</f>
        <v>0</v>
      </c>
      <c r="F53" s="32" t="str">
        <f aca="false">IF(Eingaben!$B$21="","",Eingaben!$AG$21)</f>
        <v/>
      </c>
      <c r="G53" s="30" t="n">
        <f aca="false">IF(Eingaben!$B$21="",0,INDEX(Cashflow!$E$5:$E$104,(A53-1)*10+F53))</f>
        <v>0</v>
      </c>
      <c r="H53" s="30" t="n">
        <f aca="false">IF(Eingaben!$B$21="",0,INDEX(Cashflow!$I$5:$I$104,(A53-1)*10+F53)+INDEX(Cashflow!$K$5:$K$104,(A53-1)*10+F53))</f>
        <v>0</v>
      </c>
      <c r="I53" s="30" t="n">
        <f aca="false">IF(Eingaben!$B$21="",0,INDEX(Cashflow!$M$5:$M$104,(A53-1)*10+F53))</f>
        <v>0</v>
      </c>
      <c r="J53" s="37" t="n">
        <f aca="false">IF(OR(Eingaben!$B$21="",C53=0),0,G53/C53)</f>
        <v>0</v>
      </c>
      <c r="K53" s="34" t="n">
        <f aca="false">IF(Eingaben!$B$21="",0,_xlfn.MAXIFS(Verkauf!$J$5:$J$34,Verkauf!$A$5:$A$34,A53))</f>
        <v>0</v>
      </c>
      <c r="L53" s="8" t="n">
        <f aca="false">IF(I53&gt;=0,I53,0)</f>
        <v>0</v>
      </c>
      <c r="M53" s="8" t="n">
        <f aca="false">IF(I53&lt;0,I53,0)</f>
        <v>0</v>
      </c>
    </row>
    <row r="54" customFormat="false" ht="15" hidden="false" customHeight="false" outlineLevel="0" collapsed="false">
      <c r="A54" s="28" t="n">
        <v>9</v>
      </c>
      <c r="B54" s="29" t="str">
        <f aca="false">IF(Eingaben!$B$22="","",Eingaben!$B$22)</f>
        <v/>
      </c>
      <c r="C54" s="30" t="n">
        <f aca="false">IF(Eingaben!$B$22="",0,Eingaben!$D$22)</f>
        <v>0</v>
      </c>
      <c r="D54" s="30" t="n">
        <f aca="false">IF(Eingaben!$B$22="",0,Eingaben!$E$22)</f>
        <v>0</v>
      </c>
      <c r="E54" s="31" t="n">
        <f aca="false">C54-D54</f>
        <v>0</v>
      </c>
      <c r="F54" s="32" t="str">
        <f aca="false">IF(Eingaben!$B$22="","",Eingaben!$AG$22)</f>
        <v/>
      </c>
      <c r="G54" s="30" t="n">
        <f aca="false">IF(Eingaben!$B$22="",0,INDEX(Cashflow!$E$5:$E$104,(A54-1)*10+F54))</f>
        <v>0</v>
      </c>
      <c r="H54" s="30" t="n">
        <f aca="false">IF(Eingaben!$B$22="",0,INDEX(Cashflow!$I$5:$I$104,(A54-1)*10+F54)+INDEX(Cashflow!$K$5:$K$104,(A54-1)*10+F54))</f>
        <v>0</v>
      </c>
      <c r="I54" s="30" t="n">
        <f aca="false">IF(Eingaben!$B$22="",0,INDEX(Cashflow!$M$5:$M$104,(A54-1)*10+F54))</f>
        <v>0</v>
      </c>
      <c r="J54" s="33" t="n">
        <f aca="false">IF(OR(Eingaben!$B$22="",C54=0),0,G54/C54)</f>
        <v>0</v>
      </c>
      <c r="K54" s="34" t="n">
        <f aca="false">IF(Eingaben!$B$22="",0,_xlfn.MAXIFS(Verkauf!$J$5:$J$34,Verkauf!$A$5:$A$34,A54))</f>
        <v>0</v>
      </c>
      <c r="L54" s="8" t="n">
        <f aca="false">IF(I54&gt;=0,I54,0)</f>
        <v>0</v>
      </c>
      <c r="M54" s="8" t="n">
        <f aca="false">IF(I54&lt;0,I54,0)</f>
        <v>0</v>
      </c>
    </row>
    <row r="55" customFormat="false" ht="15" hidden="false" customHeight="false" outlineLevel="0" collapsed="false">
      <c r="A55" s="35" t="n">
        <v>10</v>
      </c>
      <c r="B55" s="29" t="str">
        <f aca="false">IF(Eingaben!$B$23="","",Eingaben!$B$23)</f>
        <v/>
      </c>
      <c r="C55" s="30" t="n">
        <f aca="false">IF(Eingaben!$B$23="",0,Eingaben!$D$23)</f>
        <v>0</v>
      </c>
      <c r="D55" s="30" t="n">
        <f aca="false">IF(Eingaben!$B$23="",0,Eingaben!$E$23)</f>
        <v>0</v>
      </c>
      <c r="E55" s="36" t="n">
        <f aca="false">C55-D55</f>
        <v>0</v>
      </c>
      <c r="F55" s="32" t="str">
        <f aca="false">IF(Eingaben!$B$23="","",Eingaben!$AG$23)</f>
        <v/>
      </c>
      <c r="G55" s="30" t="n">
        <f aca="false">IF(Eingaben!$B$23="",0,INDEX(Cashflow!$E$5:$E$104,(A55-1)*10+F55))</f>
        <v>0</v>
      </c>
      <c r="H55" s="30" t="n">
        <f aca="false">IF(Eingaben!$B$23="",0,INDEX(Cashflow!$I$5:$I$104,(A55-1)*10+F55)+INDEX(Cashflow!$K$5:$K$104,(A55-1)*10+F55))</f>
        <v>0</v>
      </c>
      <c r="I55" s="30" t="n">
        <f aca="false">IF(Eingaben!$B$23="",0,INDEX(Cashflow!$M$5:$M$104,(A55-1)*10+F55))</f>
        <v>0</v>
      </c>
      <c r="J55" s="37" t="n">
        <f aca="false">IF(OR(Eingaben!$B$23="",C55=0),0,G55/C55)</f>
        <v>0</v>
      </c>
      <c r="K55" s="34" t="n">
        <f aca="false">IF(Eingaben!$B$23="",0,_xlfn.MAXIFS(Verkauf!$J$5:$J$34,Verkauf!$A$5:$A$34,A55))</f>
        <v>0</v>
      </c>
      <c r="L55" s="8" t="n">
        <f aca="false">IF(I55&gt;=0,I55,0)</f>
        <v>0</v>
      </c>
      <c r="M55" s="8" t="n">
        <f aca="false">IF(I55&lt;0,I55,0)</f>
        <v>0</v>
      </c>
    </row>
  </sheetData>
  <mergeCells count="22">
    <mergeCell ref="A1:P1"/>
    <mergeCell ref="A2:P2"/>
    <mergeCell ref="B4:C4"/>
    <mergeCell ref="E4:F4"/>
    <mergeCell ref="H4:I4"/>
    <mergeCell ref="K4:L4"/>
    <mergeCell ref="B5:C5"/>
    <mergeCell ref="E5:F5"/>
    <mergeCell ref="H5:I5"/>
    <mergeCell ref="K5:L5"/>
    <mergeCell ref="B7:C7"/>
    <mergeCell ref="E7:F7"/>
    <mergeCell ref="H7:I7"/>
    <mergeCell ref="K7:L7"/>
    <mergeCell ref="B8:C8"/>
    <mergeCell ref="E8:F8"/>
    <mergeCell ref="H8:I8"/>
    <mergeCell ref="K8:L8"/>
    <mergeCell ref="A11:P11"/>
    <mergeCell ref="A12:P12"/>
    <mergeCell ref="A44:M44"/>
    <mergeCell ref="A51:M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6FA8"/>
    <pageSetUpPr fitToPage="true"/>
  </sheetPr>
  <dimension ref="A1:P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1" max="16" min="15" style="0" width="10"/>
  </cols>
  <sheetData>
    <row r="1" customFormat="false" ht="30" hidden="false" customHeight="true" outlineLevel="0" collapsed="false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11" t="s">
        <v>12</v>
      </c>
      <c r="B4" s="11" t="s">
        <v>60</v>
      </c>
      <c r="C4" s="11" t="s">
        <v>75</v>
      </c>
      <c r="D4" s="11" t="s">
        <v>76</v>
      </c>
      <c r="E4" s="11" t="s">
        <v>77</v>
      </c>
      <c r="F4" s="11" t="s">
        <v>78</v>
      </c>
      <c r="G4" s="11" t="s">
        <v>79</v>
      </c>
      <c r="H4" s="11" t="s">
        <v>80</v>
      </c>
      <c r="I4" s="11" t="s">
        <v>81</v>
      </c>
      <c r="J4" s="11" t="s">
        <v>82</v>
      </c>
      <c r="K4" s="11" t="s">
        <v>83</v>
      </c>
      <c r="L4" s="11" t="s">
        <v>84</v>
      </c>
      <c r="M4" s="11" t="s">
        <v>85</v>
      </c>
      <c r="N4" s="11" t="s">
        <v>86</v>
      </c>
      <c r="O4" s="12" t="s">
        <v>87</v>
      </c>
      <c r="P4" s="12" t="s">
        <v>88</v>
      </c>
    </row>
    <row r="5" customFormat="false" ht="15" hidden="false" customHeight="false" outlineLevel="0" collapsed="false">
      <c r="A5" s="28" t="n">
        <v>1</v>
      </c>
      <c r="B5" s="29" t="str">
        <f aca="false">IF(Eingaben!$B$14="","",Eingaben!$B$14)</f>
        <v>Musterwohnung Berlin</v>
      </c>
      <c r="C5" s="28" t="n">
        <v>1</v>
      </c>
      <c r="D5" s="31" t="n">
        <f aca="false">IF(Eingaben!$B$14="","",Eingaben!$AB$14)</f>
        <v>248000</v>
      </c>
      <c r="E5" s="31" t="n">
        <f aca="false">IF(Eingaben!$B$14="","",Eingaben!$AC$14*12*(1+Eingaben!$K$14)^(1-1))</f>
        <v>9240.48</v>
      </c>
      <c r="F5" s="39" t="n">
        <f aca="false">IF(Eingaben!$B$14="","",E5/12)</f>
        <v>770.04</v>
      </c>
      <c r="G5" s="31" t="n">
        <f aca="false">IF(Eingaben!$B$14="","",I5-H5)</f>
        <v>10367.6986225579</v>
      </c>
      <c r="H5" s="31" t="n">
        <f aca="false">IF(Eingaben!$B$14="","",D5-J5)</f>
        <v>2528.30137744205</v>
      </c>
      <c r="I5" s="31" t="n">
        <f aca="false">IF(Eingaben!$B$14="","",P5*12)</f>
        <v>12896</v>
      </c>
      <c r="J5" s="31" t="n">
        <f aca="false">IF(Eingaben!$B$14="","",IF(O5=0,MAX(0,D5-P5*12),MAX(0,D5*(1+O5)^12-P5*((1+O5)^12-1)/O5)))</f>
        <v>245471.698622558</v>
      </c>
      <c r="K5" s="31" t="n">
        <f aca="false">IF(Eingaben!$B$14="","",Eingaben!$M$14)</f>
        <v>1200</v>
      </c>
      <c r="L5" s="30" t="n">
        <f aca="false">IF(Eingaben!$B$14="","",'Steuer &amp; AfA'!L5)</f>
        <v>2038.08744902318</v>
      </c>
      <c r="M5" s="40" t="n">
        <f aca="false">IF(Eingaben!$B$14="","",E5+L5-I5-K5)</f>
        <v>-2817.43255097682</v>
      </c>
      <c r="N5" s="39" t="n">
        <f aca="false">IF(Eingaben!$B$14="","",M5/12)</f>
        <v>-234.786045914735</v>
      </c>
      <c r="O5" s="21" t="n">
        <f aca="false">IF(Eingaben!$B$14="","",Eingaben!$AF$14)</f>
        <v>0.0035</v>
      </c>
      <c r="P5" s="20" t="n">
        <f aca="false">IF(Eingaben!$B$14="","",Eingaben!$AE$14)</f>
        <v>1074.66666666667</v>
      </c>
    </row>
    <row r="6" customFormat="false" ht="15" hidden="false" customHeight="false" outlineLevel="0" collapsed="false">
      <c r="A6" s="28" t="n">
        <v>1</v>
      </c>
      <c r="B6" s="29" t="str">
        <f aca="false">IF(Eingaben!$B$14="","",Eingaben!$B$14)</f>
        <v>Musterwohnung Berlin</v>
      </c>
      <c r="C6" s="28" t="n">
        <v>2</v>
      </c>
      <c r="D6" s="31" t="n">
        <f aca="false">IF(Eingaben!$B$14="","",J5)</f>
        <v>245471.698622558</v>
      </c>
      <c r="E6" s="31" t="n">
        <f aca="false">IF(Eingaben!$B$14="","",Eingaben!$AC$14*12*(1+Eingaben!$K$14)^(2-1))</f>
        <v>9425.2896</v>
      </c>
      <c r="F6" s="39" t="n">
        <f aca="false">IF(Eingaben!$B$14="","",E6/12)</f>
        <v>785.4408</v>
      </c>
      <c r="G6" s="31" t="n">
        <f aca="false">IF(Eingaben!$B$14="","",I6-H6)</f>
        <v>10259.4417959784</v>
      </c>
      <c r="H6" s="31" t="n">
        <f aca="false">IF(Eingaben!$B$14="","",D6-J6)</f>
        <v>2636.55820402163</v>
      </c>
      <c r="I6" s="31" t="n">
        <f aca="false">IF(Eingaben!$B$14="","",P6*12)</f>
        <v>12896</v>
      </c>
      <c r="J6" s="31" t="n">
        <f aca="false">IF(Eingaben!$B$14="","",IF(O6=0,MAX(0,D6-P6*12),MAX(0,D6*(1+O6)^12-P6*((1+O6)^12-1)/O6)))</f>
        <v>242835.140418536</v>
      </c>
      <c r="K6" s="31" t="n">
        <f aca="false">IF(Eingaben!$B$14="","",Eingaben!$M$14)</f>
        <v>1200</v>
      </c>
      <c r="L6" s="30" t="n">
        <f aca="false">IF(Eingaben!$B$14="","",'Steuer &amp; AfA'!L6)</f>
        <v>1920.86087839135</v>
      </c>
      <c r="M6" s="40" t="n">
        <f aca="false">IF(Eingaben!$B$14="","",E6+L6-I6-K6)</f>
        <v>-2749.84952160865</v>
      </c>
      <c r="N6" s="39" t="n">
        <f aca="false">IF(Eingaben!$B$14="","",M6/12)</f>
        <v>-229.154126800721</v>
      </c>
      <c r="O6" s="21" t="n">
        <f aca="false">IF(Eingaben!$B$14="","",Eingaben!$AF$14)</f>
        <v>0.0035</v>
      </c>
      <c r="P6" s="20" t="n">
        <f aca="false">IF(Eingaben!$B$14="","",Eingaben!$AE$14)</f>
        <v>1074.66666666667</v>
      </c>
    </row>
    <row r="7" customFormat="false" ht="15" hidden="false" customHeight="false" outlineLevel="0" collapsed="false">
      <c r="A7" s="28" t="n">
        <v>1</v>
      </c>
      <c r="B7" s="29" t="str">
        <f aca="false">IF(Eingaben!$B$14="","",Eingaben!$B$14)</f>
        <v>Musterwohnung Berlin</v>
      </c>
      <c r="C7" s="28" t="n">
        <v>3</v>
      </c>
      <c r="D7" s="31" t="n">
        <f aca="false">IF(Eingaben!$B$14="","",J6)</f>
        <v>242835.140418536</v>
      </c>
      <c r="E7" s="31" t="n">
        <f aca="false">IF(Eingaben!$B$14="","",Eingaben!$AC$14*12*(1+Eingaben!$K$14)^(3-1))</f>
        <v>9613.795392</v>
      </c>
      <c r="F7" s="39" t="n">
        <f aca="false">IF(Eingaben!$B$14="","",E7/12)</f>
        <v>801.149616</v>
      </c>
      <c r="G7" s="31" t="n">
        <f aca="false">IF(Eingaben!$B$14="","",I7-H7)</f>
        <v>10146.549627819</v>
      </c>
      <c r="H7" s="31" t="n">
        <f aca="false">IF(Eingaben!$B$14="","",D7-J7)</f>
        <v>2749.45037218099</v>
      </c>
      <c r="I7" s="31" t="n">
        <f aca="false">IF(Eingaben!$B$14="","",P7*12)</f>
        <v>12896</v>
      </c>
      <c r="J7" s="31" t="n">
        <f aca="false">IF(Eingaben!$B$14="","",IF(O7=0,MAX(0,D7-P7*12),MAX(0,D7*(1+O7)^12-P7*((1+O7)^12-1)/O7)))</f>
        <v>240085.690046355</v>
      </c>
      <c r="K7" s="31" t="n">
        <f aca="false">IF(Eingaben!$B$14="","",Eingaben!$M$14)</f>
        <v>1200</v>
      </c>
      <c r="L7" s="30" t="n">
        <f aca="false">IF(Eingaben!$B$14="","",'Steuer &amp; AfA'!L7)</f>
        <v>1800.3016943276</v>
      </c>
      <c r="M7" s="40" t="n">
        <f aca="false">IF(Eingaben!$B$14="","",E7+L7-I7-K7)</f>
        <v>-2681.9029136724</v>
      </c>
      <c r="N7" s="39" t="n">
        <f aca="false">IF(Eingaben!$B$14="","",M7/12)</f>
        <v>-223.4919094727</v>
      </c>
      <c r="O7" s="21" t="n">
        <f aca="false">IF(Eingaben!$B$14="","",Eingaben!$AF$14)</f>
        <v>0.0035</v>
      </c>
      <c r="P7" s="20" t="n">
        <f aca="false">IF(Eingaben!$B$14="","",Eingaben!$AE$14)</f>
        <v>1074.66666666667</v>
      </c>
    </row>
    <row r="8" customFormat="false" ht="15" hidden="false" customHeight="false" outlineLevel="0" collapsed="false">
      <c r="A8" s="28" t="n">
        <v>1</v>
      </c>
      <c r="B8" s="29" t="str">
        <f aca="false">IF(Eingaben!$B$14="","",Eingaben!$B$14)</f>
        <v>Musterwohnung Berlin</v>
      </c>
      <c r="C8" s="28" t="n">
        <v>4</v>
      </c>
      <c r="D8" s="31" t="n">
        <f aca="false">IF(Eingaben!$B$14="","",J7)</f>
        <v>240085.690046355</v>
      </c>
      <c r="E8" s="31" t="n">
        <f aca="false">IF(Eingaben!$B$14="","",Eingaben!$AC$14*12*(1+Eingaben!$K$14)^(4-1))</f>
        <v>9806.07129984</v>
      </c>
      <c r="F8" s="39" t="n">
        <f aca="false">IF(Eingaben!$B$14="","",E8/12)</f>
        <v>817.17260832</v>
      </c>
      <c r="G8" s="31" t="n">
        <f aca="false">IF(Eingaben!$B$14="","",I8-H8)</f>
        <v>10028.8236419907</v>
      </c>
      <c r="H8" s="31" t="n">
        <f aca="false">IF(Eingaben!$B$14="","",D8-J8)</f>
        <v>2867.17635800928</v>
      </c>
      <c r="I8" s="31" t="n">
        <f aca="false">IF(Eingaben!$B$14="","",P8*12)</f>
        <v>12896</v>
      </c>
      <c r="J8" s="31" t="n">
        <f aca="false">IF(Eingaben!$B$14="","",IF(O8=0,MAX(0,D8-P8*12),MAX(0,D8*(1+O8)^12-P8*((1+O8)^12-1)/O8)))</f>
        <v>237218.513688346</v>
      </c>
      <c r="K8" s="31" t="n">
        <f aca="false">IF(Eingaben!$B$14="","",Eingaben!$M$14)</f>
        <v>1200</v>
      </c>
      <c r="L8" s="30" t="n">
        <f aca="false">IF(Eingaben!$B$14="","",'Steuer &amp; AfA'!L8)</f>
        <v>1676.30093686029</v>
      </c>
      <c r="M8" s="40" t="n">
        <f aca="false">IF(Eingaben!$B$14="","",E8+L8-I8-K8)</f>
        <v>-2613.62776329971</v>
      </c>
      <c r="N8" s="39" t="n">
        <f aca="false">IF(Eingaben!$B$14="","",M8/12)</f>
        <v>-217.802313608309</v>
      </c>
      <c r="O8" s="21" t="n">
        <f aca="false">IF(Eingaben!$B$14="","",Eingaben!$AF$14)</f>
        <v>0.0035</v>
      </c>
      <c r="P8" s="20" t="n">
        <f aca="false">IF(Eingaben!$B$14="","",Eingaben!$AE$14)</f>
        <v>1074.66666666667</v>
      </c>
    </row>
    <row r="9" customFormat="false" ht="15" hidden="false" customHeight="false" outlineLevel="0" collapsed="false">
      <c r="A9" s="28" t="n">
        <v>1</v>
      </c>
      <c r="B9" s="29" t="str">
        <f aca="false">IF(Eingaben!$B$14="","",Eingaben!$B$14)</f>
        <v>Musterwohnung Berlin</v>
      </c>
      <c r="C9" s="28" t="n">
        <v>5</v>
      </c>
      <c r="D9" s="31" t="n">
        <f aca="false">IF(Eingaben!$B$14="","",J8)</f>
        <v>237218.513688346</v>
      </c>
      <c r="E9" s="31" t="n">
        <f aca="false">IF(Eingaben!$B$14="","",Eingaben!$AC$14*12*(1+Eingaben!$K$14)^(5-1))</f>
        <v>10002.1927258368</v>
      </c>
      <c r="F9" s="39" t="n">
        <f aca="false">IF(Eingaben!$B$14="","",E9/12)</f>
        <v>833.5160604864</v>
      </c>
      <c r="G9" s="31" t="n">
        <f aca="false">IF(Eingaben!$B$14="","",I9-H9)</f>
        <v>9906.0568640538</v>
      </c>
      <c r="H9" s="31" t="n">
        <f aca="false">IF(Eingaben!$B$14="","",D9-J9)</f>
        <v>2989.9431359462</v>
      </c>
      <c r="I9" s="31" t="n">
        <f aca="false">IF(Eingaben!$B$14="","",P9*12)</f>
        <v>12896</v>
      </c>
      <c r="J9" s="31" t="n">
        <f aca="false">IF(Eingaben!$B$14="","",IF(O9=0,MAX(0,D9-P9*12),MAX(0,D9*(1+O9)^12-P9*((1+O9)^12-1)/O9)))</f>
        <v>234228.5705524</v>
      </c>
      <c r="K9" s="31" t="n">
        <f aca="false">IF(Eingaben!$B$14="","",Eingaben!$M$14)</f>
        <v>1200</v>
      </c>
      <c r="L9" s="30" t="n">
        <f aca="false">IF(Eingaben!$B$14="","",'Steuer &amp; AfA'!L9)</f>
        <v>1548.7456552868</v>
      </c>
      <c r="M9" s="40" t="n">
        <f aca="false">IF(Eingaben!$B$14="","",E9+L9-I9-K9)</f>
        <v>-2545.0616188764</v>
      </c>
      <c r="N9" s="39" t="n">
        <f aca="false">IF(Eingaben!$B$14="","",M9/12)</f>
        <v>-212.0884682397</v>
      </c>
      <c r="O9" s="21" t="n">
        <f aca="false">IF(Eingaben!$B$14="","",Eingaben!$AF$14)</f>
        <v>0.0035</v>
      </c>
      <c r="P9" s="20" t="n">
        <f aca="false">IF(Eingaben!$B$14="","",Eingaben!$AE$14)</f>
        <v>1074.66666666667</v>
      </c>
    </row>
    <row r="10" customFormat="false" ht="15" hidden="false" customHeight="false" outlineLevel="0" collapsed="false">
      <c r="A10" s="28" t="n">
        <v>1</v>
      </c>
      <c r="B10" s="29" t="str">
        <f aca="false">IF(Eingaben!$B$14="","",Eingaben!$B$14)</f>
        <v>Musterwohnung Berlin</v>
      </c>
      <c r="C10" s="28" t="n">
        <v>6</v>
      </c>
      <c r="D10" s="31" t="n">
        <f aca="false">IF(Eingaben!$B$14="","",J9)</f>
        <v>234228.5705524</v>
      </c>
      <c r="E10" s="31" t="n">
        <f aca="false">IF(Eingaben!$B$14="","",Eingaben!$AC$14*12*(1+Eingaben!$K$14)^(6-1))</f>
        <v>10202.2365803535</v>
      </c>
      <c r="F10" s="39" t="n">
        <f aca="false">IF(Eingaben!$B$14="","",E10/12)</f>
        <v>850.186381696128</v>
      </c>
      <c r="G10" s="31" t="n">
        <f aca="false">IF(Eingaben!$B$14="","",I10-H10)</f>
        <v>9778.03345733541</v>
      </c>
      <c r="H10" s="31" t="n">
        <f aca="false">IF(Eingaben!$B$14="","",D10-J10)</f>
        <v>3117.9665426646</v>
      </c>
      <c r="I10" s="31" t="n">
        <f aca="false">IF(Eingaben!$B$14="","",P10*12)</f>
        <v>12896</v>
      </c>
      <c r="J10" s="31" t="n">
        <f aca="false">IF(Eingaben!$B$14="","",IF(O10=0,MAX(0,D10-P10*12),MAX(0,D10*(1+O10)^12-P10*((1+O10)^12-1)/O10)))</f>
        <v>231110.604009735</v>
      </c>
      <c r="K10" s="31" t="n">
        <f aca="false">IF(Eingaben!$B$14="","",Eingaben!$M$14)</f>
        <v>1200</v>
      </c>
      <c r="L10" s="30" t="n">
        <f aca="false">IF(Eingaben!$B$14="","",'Steuer &amp; AfA'!L10)</f>
        <v>1417.51875079275</v>
      </c>
      <c r="M10" s="40" t="n">
        <f aca="false">IF(Eingaben!$B$14="","",E10+L10-I10-K10)</f>
        <v>-2476.24466885372</v>
      </c>
      <c r="N10" s="39" t="n">
        <f aca="false">IF(Eingaben!$B$14="","",M10/12)</f>
        <v>-206.353722404476</v>
      </c>
      <c r="O10" s="21" t="n">
        <f aca="false">IF(Eingaben!$B$14="","",Eingaben!$AF$14)</f>
        <v>0.0035</v>
      </c>
      <c r="P10" s="20" t="n">
        <f aca="false">IF(Eingaben!$B$14="","",Eingaben!$AE$14)</f>
        <v>1074.66666666667</v>
      </c>
    </row>
    <row r="11" customFormat="false" ht="15" hidden="false" customHeight="false" outlineLevel="0" collapsed="false">
      <c r="A11" s="28" t="n">
        <v>1</v>
      </c>
      <c r="B11" s="29" t="str">
        <f aca="false">IF(Eingaben!$B$14="","",Eingaben!$B$14)</f>
        <v>Musterwohnung Berlin</v>
      </c>
      <c r="C11" s="28" t="n">
        <v>7</v>
      </c>
      <c r="D11" s="31" t="n">
        <f aca="false">IF(Eingaben!$B$14="","",J10)</f>
        <v>231110.604009735</v>
      </c>
      <c r="E11" s="31" t="n">
        <f aca="false">IF(Eingaben!$B$14="","",Eingaben!$AC$14*12*(1+Eingaben!$K$14)^(7-1))</f>
        <v>10406.2813119606</v>
      </c>
      <c r="F11" s="39" t="n">
        <f aca="false">IF(Eingaben!$B$14="","",E11/12)</f>
        <v>867.190109330051</v>
      </c>
      <c r="G11" s="31" t="n">
        <f aca="false">IF(Eingaben!$B$14="","",I11-H11)</f>
        <v>9644.52834346655</v>
      </c>
      <c r="H11" s="31" t="n">
        <f aca="false">IF(Eingaben!$B$14="","",D11-J11)</f>
        <v>3251.47165653345</v>
      </c>
      <c r="I11" s="31" t="n">
        <f aca="false">IF(Eingaben!$B$14="","",P11*12)</f>
        <v>12896</v>
      </c>
      <c r="J11" s="31" t="n">
        <f aca="false">IF(Eingaben!$B$14="","",IF(O11=0,MAX(0,D11-P11*12),MAX(0,D11*(1+O11)^12-P11*((1+O11)^12-1)/O11)))</f>
        <v>227859.132353202</v>
      </c>
      <c r="K11" s="31" t="n">
        <f aca="false">IF(Eingaben!$B$14="","",Eingaben!$M$14)</f>
        <v>1200</v>
      </c>
      <c r="L11" s="30" t="n">
        <f aca="false">IF(Eingaben!$B$14="","",'Steuer &amp; AfA'!L11)</f>
        <v>1282.49881260238</v>
      </c>
      <c r="M11" s="40" t="n">
        <f aca="false">IF(Eingaben!$B$14="","",E11+L11-I11-K11)</f>
        <v>-2407.21987543702</v>
      </c>
      <c r="N11" s="39" t="n">
        <f aca="false">IF(Eingaben!$B$14="","",M11/12)</f>
        <v>-200.601656286418</v>
      </c>
      <c r="O11" s="21" t="n">
        <f aca="false">IF(Eingaben!$B$14="","",Eingaben!$AF$14)</f>
        <v>0.0035</v>
      </c>
      <c r="P11" s="20" t="n">
        <f aca="false">IF(Eingaben!$B$14="","",Eingaben!$AE$14)</f>
        <v>1074.66666666667</v>
      </c>
    </row>
    <row r="12" customFormat="false" ht="15" hidden="false" customHeight="false" outlineLevel="0" collapsed="false">
      <c r="A12" s="28" t="n">
        <v>1</v>
      </c>
      <c r="B12" s="29" t="str">
        <f aca="false">IF(Eingaben!$B$14="","",Eingaben!$B$14)</f>
        <v>Musterwohnung Berlin</v>
      </c>
      <c r="C12" s="28" t="n">
        <v>8</v>
      </c>
      <c r="D12" s="31" t="n">
        <f aca="false">IF(Eingaben!$B$14="","",J11)</f>
        <v>227859.132353202</v>
      </c>
      <c r="E12" s="31" t="n">
        <f aca="false">IF(Eingaben!$B$14="","",Eingaben!$AC$14*12*(1+Eingaben!$K$14)^(8-1))</f>
        <v>10614.4069381998</v>
      </c>
      <c r="F12" s="39" t="n">
        <f aca="false">IF(Eingaben!$B$14="","",E12/12)</f>
        <v>884.533911516652</v>
      </c>
      <c r="G12" s="31" t="n">
        <f aca="false">IF(Eingaben!$B$14="","",I12-H12)</f>
        <v>9505.306806671</v>
      </c>
      <c r="H12" s="31" t="n">
        <f aca="false">IF(Eingaben!$B$14="","",D12-J12)</f>
        <v>3390.693193329</v>
      </c>
      <c r="I12" s="31" t="n">
        <f aca="false">IF(Eingaben!$B$14="","",P12*12)</f>
        <v>12896</v>
      </c>
      <c r="J12" s="31" t="n">
        <f aca="false">IF(Eingaben!$B$14="","",IF(O12=0,MAX(0,D12-P12*12),MAX(0,D12*(1+O12)^12-P12*((1+O12)^12-1)/O12)))</f>
        <v>224468.439159873</v>
      </c>
      <c r="K12" s="31" t="n">
        <f aca="false">IF(Eingaben!$B$14="","",Eingaben!$M$14)</f>
        <v>1200</v>
      </c>
      <c r="L12" s="30" t="n">
        <f aca="false">IF(Eingaben!$B$14="","",'Steuer &amp; AfA'!L12)</f>
        <v>1143.55994738847</v>
      </c>
      <c r="M12" s="40" t="n">
        <f aca="false">IF(Eingaben!$B$14="","",E12+L12-I12-K12)</f>
        <v>-2338.03311441171</v>
      </c>
      <c r="N12" s="39" t="n">
        <f aca="false">IF(Eingaben!$B$14="","",M12/12)</f>
        <v>-194.836092867643</v>
      </c>
      <c r="O12" s="21" t="n">
        <f aca="false">IF(Eingaben!$B$14="","",Eingaben!$AF$14)</f>
        <v>0.0035</v>
      </c>
      <c r="P12" s="20" t="n">
        <f aca="false">IF(Eingaben!$B$14="","",Eingaben!$AE$14)</f>
        <v>1074.66666666667</v>
      </c>
    </row>
    <row r="13" customFormat="false" ht="15" hidden="false" customHeight="false" outlineLevel="0" collapsed="false">
      <c r="A13" s="28" t="n">
        <v>1</v>
      </c>
      <c r="B13" s="29" t="str">
        <f aca="false">IF(Eingaben!$B$14="","",Eingaben!$B$14)</f>
        <v>Musterwohnung Berlin</v>
      </c>
      <c r="C13" s="28" t="n">
        <v>9</v>
      </c>
      <c r="D13" s="31" t="n">
        <f aca="false">IF(Eingaben!$B$14="","",J12)</f>
        <v>224468.439159873</v>
      </c>
      <c r="E13" s="31" t="n">
        <f aca="false">IF(Eingaben!$B$14="","",Eingaben!$AC$14*12*(1+Eingaben!$K$14)^(9-1))</f>
        <v>10826.6950769638</v>
      </c>
      <c r="F13" s="39" t="n">
        <f aca="false">IF(Eingaben!$B$14="","",E13/12)</f>
        <v>902.224589746985</v>
      </c>
      <c r="G13" s="31" t="n">
        <f aca="false">IF(Eingaben!$B$14="","",I13-H13)</f>
        <v>9360.12408111076</v>
      </c>
      <c r="H13" s="31" t="n">
        <f aca="false">IF(Eingaben!$B$14="","",D13-J13)</f>
        <v>3535.87591888924</v>
      </c>
      <c r="I13" s="31" t="n">
        <f aca="false">IF(Eingaben!$B$14="","",P13*12)</f>
        <v>12896</v>
      </c>
      <c r="J13" s="31" t="n">
        <f aca="false">IF(Eingaben!$B$14="","",IF(O13=0,MAX(0,D13-P13*12),MAX(0,D13*(1+O13)^12-P13*((1+O13)^12-1)/O13)))</f>
        <v>220932.563240984</v>
      </c>
      <c r="K13" s="31" t="n">
        <f aca="false">IF(Eingaben!$B$14="","",Eingaben!$M$14)</f>
        <v>1200</v>
      </c>
      <c r="L13" s="30" t="n">
        <f aca="false">IF(Eingaben!$B$14="","",'Steuer &amp; AfA'!L13)</f>
        <v>1000.57160165878</v>
      </c>
      <c r="M13" s="40" t="n">
        <f aca="false">IF(Eingaben!$B$14="","",E13+L13-I13-K13)</f>
        <v>-2268.73332137741</v>
      </c>
      <c r="N13" s="39" t="n">
        <f aca="false">IF(Eingaben!$B$14="","",M13/12)</f>
        <v>-189.061110114784</v>
      </c>
      <c r="O13" s="21" t="n">
        <f aca="false">IF(Eingaben!$B$14="","",Eingaben!$AF$14)</f>
        <v>0.0035</v>
      </c>
      <c r="P13" s="20" t="n">
        <f aca="false">IF(Eingaben!$B$14="","",Eingaben!$AE$14)</f>
        <v>1074.66666666667</v>
      </c>
    </row>
    <row r="14" customFormat="false" ht="15" hidden="false" customHeight="false" outlineLevel="0" collapsed="false">
      <c r="A14" s="28" t="n">
        <v>1</v>
      </c>
      <c r="B14" s="29" t="str">
        <f aca="false">IF(Eingaben!$B$14="","",Eingaben!$B$14)</f>
        <v>Musterwohnung Berlin</v>
      </c>
      <c r="C14" s="28" t="n">
        <v>10</v>
      </c>
      <c r="D14" s="31" t="n">
        <f aca="false">IF(Eingaben!$B$14="","",J13)</f>
        <v>220932.563240984</v>
      </c>
      <c r="E14" s="31" t="n">
        <f aca="false">IF(Eingaben!$B$14="","",Eingaben!$AC$14*12*(1+Eingaben!$K$14)^(10-1))</f>
        <v>11043.2289785031</v>
      </c>
      <c r="F14" s="39" t="n">
        <f aca="false">IF(Eingaben!$B$14="","",E14/12)</f>
        <v>920.269081541924</v>
      </c>
      <c r="G14" s="31" t="n">
        <f aca="false">IF(Eingaben!$B$14="","",I14-H14)</f>
        <v>9208.72492056232</v>
      </c>
      <c r="H14" s="31" t="n">
        <f aca="false">IF(Eingaben!$B$14="","",D14-J14)</f>
        <v>3687.27507943768</v>
      </c>
      <c r="I14" s="31" t="n">
        <f aca="false">IF(Eingaben!$B$14="","",P14*12)</f>
        <v>12896</v>
      </c>
      <c r="J14" s="31" t="n">
        <f aca="false">IF(Eingaben!$B$14="","",IF(O14=0,MAX(0,D14-P14*12),MAX(0,D14*(1+O14)^12-P14*((1+O14)^12-1)/O14)))</f>
        <v>217245.288161546</v>
      </c>
      <c r="K14" s="31" t="n">
        <f aca="false">IF(Eingaben!$B$14="","",Eingaben!$M$14)</f>
        <v>1200</v>
      </c>
      <c r="L14" s="30" t="n">
        <f aca="false">IF(Eingaben!$B$14="","",'Steuer &amp; AfA'!L14)</f>
        <v>853.398376823693</v>
      </c>
      <c r="M14" s="40" t="n">
        <f aca="false">IF(Eingaben!$B$14="","",E14+L14-I14-K14)</f>
        <v>-2199.37264467322</v>
      </c>
      <c r="N14" s="39" t="n">
        <f aca="false">IF(Eingaben!$B$14="","",M14/12)</f>
        <v>-183.281053722768</v>
      </c>
      <c r="O14" s="21" t="n">
        <f aca="false">IF(Eingaben!$B$14="","",Eingaben!$AF$14)</f>
        <v>0.0035</v>
      </c>
      <c r="P14" s="20" t="n">
        <f aca="false">IF(Eingaben!$B$14="","",Eingaben!$AE$14)</f>
        <v>1074.66666666667</v>
      </c>
    </row>
    <row r="15" customFormat="false" ht="15" hidden="false" customHeight="false" outlineLevel="0" collapsed="false">
      <c r="A15" s="35" t="n">
        <v>2</v>
      </c>
      <c r="B15" s="29" t="str">
        <f aca="false">IF(Eingaben!$B$15="","",Eingaben!$B$15)</f>
        <v/>
      </c>
      <c r="C15" s="35" t="n">
        <v>1</v>
      </c>
      <c r="D15" s="36" t="str">
        <f aca="false">IF(Eingaben!$B$15="","",Eingaben!$AB$15)</f>
        <v/>
      </c>
      <c r="E15" s="36" t="str">
        <f aca="false">IF(Eingaben!$B$15="","",Eingaben!$AC$15*12*(1+Eingaben!$K$15)^(1-1))</f>
        <v/>
      </c>
      <c r="F15" s="41" t="str">
        <f aca="false">IF(Eingaben!$B$15="","",E15/12)</f>
        <v/>
      </c>
      <c r="G15" s="36" t="str">
        <f aca="false">IF(Eingaben!$B$15="","",I15-H15)</f>
        <v/>
      </c>
      <c r="H15" s="36" t="str">
        <f aca="false">IF(Eingaben!$B$15="","",D15-J15)</f>
        <v/>
      </c>
      <c r="I15" s="36" t="str">
        <f aca="false">IF(Eingaben!$B$15="","",P15*12)</f>
        <v/>
      </c>
      <c r="J15" s="36" t="str">
        <f aca="false">IF(Eingaben!$B$15="","",IF(O15=0,MAX(0,D15-P15*12),MAX(0,D15*(1+O15)^12-P15*((1+O15)^12-1)/O15)))</f>
        <v/>
      </c>
      <c r="K15" s="36" t="str">
        <f aca="false">IF(Eingaben!$B$15="","",Eingaben!$M$15)</f>
        <v/>
      </c>
      <c r="L15" s="30" t="str">
        <f aca="false">IF(Eingaben!$B$15="","",'Steuer &amp; AfA'!L15)</f>
        <v/>
      </c>
      <c r="M15" s="42" t="str">
        <f aca="false">IF(Eingaben!$B$15="","",E15+L15-I15-K15)</f>
        <v/>
      </c>
      <c r="N15" s="41" t="str">
        <f aca="false">IF(Eingaben!$B$15="","",M15/12)</f>
        <v/>
      </c>
      <c r="O15" s="21" t="str">
        <f aca="false">IF(Eingaben!$B$15="","",Eingaben!$AF$15)</f>
        <v/>
      </c>
      <c r="P15" s="20" t="str">
        <f aca="false">IF(Eingaben!$B$15="","",Eingaben!$AE$15)</f>
        <v/>
      </c>
    </row>
    <row r="16" customFormat="false" ht="15" hidden="false" customHeight="false" outlineLevel="0" collapsed="false">
      <c r="A16" s="35" t="n">
        <v>2</v>
      </c>
      <c r="B16" s="29" t="str">
        <f aca="false">IF(Eingaben!$B$15="","",Eingaben!$B$15)</f>
        <v/>
      </c>
      <c r="C16" s="35" t="n">
        <v>2</v>
      </c>
      <c r="D16" s="36" t="str">
        <f aca="false">IF(Eingaben!$B$15="","",J15)</f>
        <v/>
      </c>
      <c r="E16" s="36" t="str">
        <f aca="false">IF(Eingaben!$B$15="","",Eingaben!$AC$15*12*(1+Eingaben!$K$15)^(2-1))</f>
        <v/>
      </c>
      <c r="F16" s="41" t="str">
        <f aca="false">IF(Eingaben!$B$15="","",E16/12)</f>
        <v/>
      </c>
      <c r="G16" s="36" t="str">
        <f aca="false">IF(Eingaben!$B$15="","",I16-H16)</f>
        <v/>
      </c>
      <c r="H16" s="36" t="str">
        <f aca="false">IF(Eingaben!$B$15="","",D16-J16)</f>
        <v/>
      </c>
      <c r="I16" s="36" t="str">
        <f aca="false">IF(Eingaben!$B$15="","",P16*12)</f>
        <v/>
      </c>
      <c r="J16" s="36" t="str">
        <f aca="false">IF(Eingaben!$B$15="","",IF(O16=0,MAX(0,D16-P16*12),MAX(0,D16*(1+O16)^12-P16*((1+O16)^12-1)/O16)))</f>
        <v/>
      </c>
      <c r="K16" s="36" t="str">
        <f aca="false">IF(Eingaben!$B$15="","",Eingaben!$M$15)</f>
        <v/>
      </c>
      <c r="L16" s="30" t="str">
        <f aca="false">IF(Eingaben!$B$15="","",'Steuer &amp; AfA'!L16)</f>
        <v/>
      </c>
      <c r="M16" s="42" t="str">
        <f aca="false">IF(Eingaben!$B$15="","",E16+L16-I16-K16)</f>
        <v/>
      </c>
      <c r="N16" s="41" t="str">
        <f aca="false">IF(Eingaben!$B$15="","",M16/12)</f>
        <v/>
      </c>
      <c r="O16" s="21" t="str">
        <f aca="false">IF(Eingaben!$B$15="","",Eingaben!$AF$15)</f>
        <v/>
      </c>
      <c r="P16" s="20" t="str">
        <f aca="false">IF(Eingaben!$B$15="","",Eingaben!$AE$15)</f>
        <v/>
      </c>
    </row>
    <row r="17" customFormat="false" ht="15" hidden="false" customHeight="false" outlineLevel="0" collapsed="false">
      <c r="A17" s="35" t="n">
        <v>2</v>
      </c>
      <c r="B17" s="29" t="str">
        <f aca="false">IF(Eingaben!$B$15="","",Eingaben!$B$15)</f>
        <v/>
      </c>
      <c r="C17" s="35" t="n">
        <v>3</v>
      </c>
      <c r="D17" s="36" t="str">
        <f aca="false">IF(Eingaben!$B$15="","",J16)</f>
        <v/>
      </c>
      <c r="E17" s="36" t="str">
        <f aca="false">IF(Eingaben!$B$15="","",Eingaben!$AC$15*12*(1+Eingaben!$K$15)^(3-1))</f>
        <v/>
      </c>
      <c r="F17" s="41" t="str">
        <f aca="false">IF(Eingaben!$B$15="","",E17/12)</f>
        <v/>
      </c>
      <c r="G17" s="36" t="str">
        <f aca="false">IF(Eingaben!$B$15="","",I17-H17)</f>
        <v/>
      </c>
      <c r="H17" s="36" t="str">
        <f aca="false">IF(Eingaben!$B$15="","",D17-J17)</f>
        <v/>
      </c>
      <c r="I17" s="36" t="str">
        <f aca="false">IF(Eingaben!$B$15="","",P17*12)</f>
        <v/>
      </c>
      <c r="J17" s="36" t="str">
        <f aca="false">IF(Eingaben!$B$15="","",IF(O17=0,MAX(0,D17-P17*12),MAX(0,D17*(1+O17)^12-P17*((1+O17)^12-1)/O17)))</f>
        <v/>
      </c>
      <c r="K17" s="36" t="str">
        <f aca="false">IF(Eingaben!$B$15="","",Eingaben!$M$15)</f>
        <v/>
      </c>
      <c r="L17" s="30" t="str">
        <f aca="false">IF(Eingaben!$B$15="","",'Steuer &amp; AfA'!L17)</f>
        <v/>
      </c>
      <c r="M17" s="42" t="str">
        <f aca="false">IF(Eingaben!$B$15="","",E17+L17-I17-K17)</f>
        <v/>
      </c>
      <c r="N17" s="41" t="str">
        <f aca="false">IF(Eingaben!$B$15="","",M17/12)</f>
        <v/>
      </c>
      <c r="O17" s="21" t="str">
        <f aca="false">IF(Eingaben!$B$15="","",Eingaben!$AF$15)</f>
        <v/>
      </c>
      <c r="P17" s="20" t="str">
        <f aca="false">IF(Eingaben!$B$15="","",Eingaben!$AE$15)</f>
        <v/>
      </c>
    </row>
    <row r="18" customFormat="false" ht="15" hidden="false" customHeight="false" outlineLevel="0" collapsed="false">
      <c r="A18" s="35" t="n">
        <v>2</v>
      </c>
      <c r="B18" s="29" t="str">
        <f aca="false">IF(Eingaben!$B$15="","",Eingaben!$B$15)</f>
        <v/>
      </c>
      <c r="C18" s="35" t="n">
        <v>4</v>
      </c>
      <c r="D18" s="36" t="str">
        <f aca="false">IF(Eingaben!$B$15="","",J17)</f>
        <v/>
      </c>
      <c r="E18" s="36" t="str">
        <f aca="false">IF(Eingaben!$B$15="","",Eingaben!$AC$15*12*(1+Eingaben!$K$15)^(4-1))</f>
        <v/>
      </c>
      <c r="F18" s="41" t="str">
        <f aca="false">IF(Eingaben!$B$15="","",E18/12)</f>
        <v/>
      </c>
      <c r="G18" s="36" t="str">
        <f aca="false">IF(Eingaben!$B$15="","",I18-H18)</f>
        <v/>
      </c>
      <c r="H18" s="36" t="str">
        <f aca="false">IF(Eingaben!$B$15="","",D18-J18)</f>
        <v/>
      </c>
      <c r="I18" s="36" t="str">
        <f aca="false">IF(Eingaben!$B$15="","",P18*12)</f>
        <v/>
      </c>
      <c r="J18" s="36" t="str">
        <f aca="false">IF(Eingaben!$B$15="","",IF(O18=0,MAX(0,D18-P18*12),MAX(0,D18*(1+O18)^12-P18*((1+O18)^12-1)/O18)))</f>
        <v/>
      </c>
      <c r="K18" s="36" t="str">
        <f aca="false">IF(Eingaben!$B$15="","",Eingaben!$M$15)</f>
        <v/>
      </c>
      <c r="L18" s="30" t="str">
        <f aca="false">IF(Eingaben!$B$15="","",'Steuer &amp; AfA'!L18)</f>
        <v/>
      </c>
      <c r="M18" s="42" t="str">
        <f aca="false">IF(Eingaben!$B$15="","",E18+L18-I18-K18)</f>
        <v/>
      </c>
      <c r="N18" s="41" t="str">
        <f aca="false">IF(Eingaben!$B$15="","",M18/12)</f>
        <v/>
      </c>
      <c r="O18" s="21" t="str">
        <f aca="false">IF(Eingaben!$B$15="","",Eingaben!$AF$15)</f>
        <v/>
      </c>
      <c r="P18" s="20" t="str">
        <f aca="false">IF(Eingaben!$B$15="","",Eingaben!$AE$15)</f>
        <v/>
      </c>
    </row>
    <row r="19" customFormat="false" ht="15" hidden="false" customHeight="false" outlineLevel="0" collapsed="false">
      <c r="A19" s="35" t="n">
        <v>2</v>
      </c>
      <c r="B19" s="29" t="str">
        <f aca="false">IF(Eingaben!$B$15="","",Eingaben!$B$15)</f>
        <v/>
      </c>
      <c r="C19" s="35" t="n">
        <v>5</v>
      </c>
      <c r="D19" s="36" t="str">
        <f aca="false">IF(Eingaben!$B$15="","",J18)</f>
        <v/>
      </c>
      <c r="E19" s="36" t="str">
        <f aca="false">IF(Eingaben!$B$15="","",Eingaben!$AC$15*12*(1+Eingaben!$K$15)^(5-1))</f>
        <v/>
      </c>
      <c r="F19" s="41" t="str">
        <f aca="false">IF(Eingaben!$B$15="","",E19/12)</f>
        <v/>
      </c>
      <c r="G19" s="36" t="str">
        <f aca="false">IF(Eingaben!$B$15="","",I19-H19)</f>
        <v/>
      </c>
      <c r="H19" s="36" t="str">
        <f aca="false">IF(Eingaben!$B$15="","",D19-J19)</f>
        <v/>
      </c>
      <c r="I19" s="36" t="str">
        <f aca="false">IF(Eingaben!$B$15="","",P19*12)</f>
        <v/>
      </c>
      <c r="J19" s="36" t="str">
        <f aca="false">IF(Eingaben!$B$15="","",IF(O19=0,MAX(0,D19-P19*12),MAX(0,D19*(1+O19)^12-P19*((1+O19)^12-1)/O19)))</f>
        <v/>
      </c>
      <c r="K19" s="36" t="str">
        <f aca="false">IF(Eingaben!$B$15="","",Eingaben!$M$15)</f>
        <v/>
      </c>
      <c r="L19" s="30" t="str">
        <f aca="false">IF(Eingaben!$B$15="","",'Steuer &amp; AfA'!L19)</f>
        <v/>
      </c>
      <c r="M19" s="42" t="str">
        <f aca="false">IF(Eingaben!$B$15="","",E19+L19-I19-K19)</f>
        <v/>
      </c>
      <c r="N19" s="41" t="str">
        <f aca="false">IF(Eingaben!$B$15="","",M19/12)</f>
        <v/>
      </c>
      <c r="O19" s="21" t="str">
        <f aca="false">IF(Eingaben!$B$15="","",Eingaben!$AF$15)</f>
        <v/>
      </c>
      <c r="P19" s="20" t="str">
        <f aca="false">IF(Eingaben!$B$15="","",Eingaben!$AE$15)</f>
        <v/>
      </c>
    </row>
    <row r="20" customFormat="false" ht="15" hidden="false" customHeight="false" outlineLevel="0" collapsed="false">
      <c r="A20" s="35" t="n">
        <v>2</v>
      </c>
      <c r="B20" s="29" t="str">
        <f aca="false">IF(Eingaben!$B$15="","",Eingaben!$B$15)</f>
        <v/>
      </c>
      <c r="C20" s="35" t="n">
        <v>6</v>
      </c>
      <c r="D20" s="36" t="str">
        <f aca="false">IF(Eingaben!$B$15="","",J19)</f>
        <v/>
      </c>
      <c r="E20" s="36" t="str">
        <f aca="false">IF(Eingaben!$B$15="","",Eingaben!$AC$15*12*(1+Eingaben!$K$15)^(6-1))</f>
        <v/>
      </c>
      <c r="F20" s="41" t="str">
        <f aca="false">IF(Eingaben!$B$15="","",E20/12)</f>
        <v/>
      </c>
      <c r="G20" s="36" t="str">
        <f aca="false">IF(Eingaben!$B$15="","",I20-H20)</f>
        <v/>
      </c>
      <c r="H20" s="36" t="str">
        <f aca="false">IF(Eingaben!$B$15="","",D20-J20)</f>
        <v/>
      </c>
      <c r="I20" s="36" t="str">
        <f aca="false">IF(Eingaben!$B$15="","",P20*12)</f>
        <v/>
      </c>
      <c r="J20" s="36" t="str">
        <f aca="false">IF(Eingaben!$B$15="","",IF(O20=0,MAX(0,D20-P20*12),MAX(0,D20*(1+O20)^12-P20*((1+O20)^12-1)/O20)))</f>
        <v/>
      </c>
      <c r="K20" s="36" t="str">
        <f aca="false">IF(Eingaben!$B$15="","",Eingaben!$M$15)</f>
        <v/>
      </c>
      <c r="L20" s="30" t="str">
        <f aca="false">IF(Eingaben!$B$15="","",'Steuer &amp; AfA'!L20)</f>
        <v/>
      </c>
      <c r="M20" s="42" t="str">
        <f aca="false">IF(Eingaben!$B$15="","",E20+L20-I20-K20)</f>
        <v/>
      </c>
      <c r="N20" s="41" t="str">
        <f aca="false">IF(Eingaben!$B$15="","",M20/12)</f>
        <v/>
      </c>
      <c r="O20" s="21" t="str">
        <f aca="false">IF(Eingaben!$B$15="","",Eingaben!$AF$15)</f>
        <v/>
      </c>
      <c r="P20" s="20" t="str">
        <f aca="false">IF(Eingaben!$B$15="","",Eingaben!$AE$15)</f>
        <v/>
      </c>
    </row>
    <row r="21" customFormat="false" ht="15" hidden="false" customHeight="false" outlineLevel="0" collapsed="false">
      <c r="A21" s="35" t="n">
        <v>2</v>
      </c>
      <c r="B21" s="29" t="str">
        <f aca="false">IF(Eingaben!$B$15="","",Eingaben!$B$15)</f>
        <v/>
      </c>
      <c r="C21" s="35" t="n">
        <v>7</v>
      </c>
      <c r="D21" s="36" t="str">
        <f aca="false">IF(Eingaben!$B$15="","",J20)</f>
        <v/>
      </c>
      <c r="E21" s="36" t="str">
        <f aca="false">IF(Eingaben!$B$15="","",Eingaben!$AC$15*12*(1+Eingaben!$K$15)^(7-1))</f>
        <v/>
      </c>
      <c r="F21" s="41" t="str">
        <f aca="false">IF(Eingaben!$B$15="","",E21/12)</f>
        <v/>
      </c>
      <c r="G21" s="36" t="str">
        <f aca="false">IF(Eingaben!$B$15="","",I21-H21)</f>
        <v/>
      </c>
      <c r="H21" s="36" t="str">
        <f aca="false">IF(Eingaben!$B$15="","",D21-J21)</f>
        <v/>
      </c>
      <c r="I21" s="36" t="str">
        <f aca="false">IF(Eingaben!$B$15="","",P21*12)</f>
        <v/>
      </c>
      <c r="J21" s="36" t="str">
        <f aca="false">IF(Eingaben!$B$15="","",IF(O21=0,MAX(0,D21-P21*12),MAX(0,D21*(1+O21)^12-P21*((1+O21)^12-1)/O21)))</f>
        <v/>
      </c>
      <c r="K21" s="36" t="str">
        <f aca="false">IF(Eingaben!$B$15="","",Eingaben!$M$15)</f>
        <v/>
      </c>
      <c r="L21" s="30" t="str">
        <f aca="false">IF(Eingaben!$B$15="","",'Steuer &amp; AfA'!L21)</f>
        <v/>
      </c>
      <c r="M21" s="42" t="str">
        <f aca="false">IF(Eingaben!$B$15="","",E21+L21-I21-K21)</f>
        <v/>
      </c>
      <c r="N21" s="41" t="str">
        <f aca="false">IF(Eingaben!$B$15="","",M21/12)</f>
        <v/>
      </c>
      <c r="O21" s="21" t="str">
        <f aca="false">IF(Eingaben!$B$15="","",Eingaben!$AF$15)</f>
        <v/>
      </c>
      <c r="P21" s="20" t="str">
        <f aca="false">IF(Eingaben!$B$15="","",Eingaben!$AE$15)</f>
        <v/>
      </c>
    </row>
    <row r="22" customFormat="false" ht="15" hidden="false" customHeight="false" outlineLevel="0" collapsed="false">
      <c r="A22" s="35" t="n">
        <v>2</v>
      </c>
      <c r="B22" s="29" t="str">
        <f aca="false">IF(Eingaben!$B$15="","",Eingaben!$B$15)</f>
        <v/>
      </c>
      <c r="C22" s="35" t="n">
        <v>8</v>
      </c>
      <c r="D22" s="36" t="str">
        <f aca="false">IF(Eingaben!$B$15="","",J21)</f>
        <v/>
      </c>
      <c r="E22" s="36" t="str">
        <f aca="false">IF(Eingaben!$B$15="","",Eingaben!$AC$15*12*(1+Eingaben!$K$15)^(8-1))</f>
        <v/>
      </c>
      <c r="F22" s="41" t="str">
        <f aca="false">IF(Eingaben!$B$15="","",E22/12)</f>
        <v/>
      </c>
      <c r="G22" s="36" t="str">
        <f aca="false">IF(Eingaben!$B$15="","",I22-H22)</f>
        <v/>
      </c>
      <c r="H22" s="36" t="str">
        <f aca="false">IF(Eingaben!$B$15="","",D22-J22)</f>
        <v/>
      </c>
      <c r="I22" s="36" t="str">
        <f aca="false">IF(Eingaben!$B$15="","",P22*12)</f>
        <v/>
      </c>
      <c r="J22" s="36" t="str">
        <f aca="false">IF(Eingaben!$B$15="","",IF(O22=0,MAX(0,D22-P22*12),MAX(0,D22*(1+O22)^12-P22*((1+O22)^12-1)/O22)))</f>
        <v/>
      </c>
      <c r="K22" s="36" t="str">
        <f aca="false">IF(Eingaben!$B$15="","",Eingaben!$M$15)</f>
        <v/>
      </c>
      <c r="L22" s="30" t="str">
        <f aca="false">IF(Eingaben!$B$15="","",'Steuer &amp; AfA'!L22)</f>
        <v/>
      </c>
      <c r="M22" s="42" t="str">
        <f aca="false">IF(Eingaben!$B$15="","",E22+L22-I22-K22)</f>
        <v/>
      </c>
      <c r="N22" s="41" t="str">
        <f aca="false">IF(Eingaben!$B$15="","",M22/12)</f>
        <v/>
      </c>
      <c r="O22" s="21" t="str">
        <f aca="false">IF(Eingaben!$B$15="","",Eingaben!$AF$15)</f>
        <v/>
      </c>
      <c r="P22" s="20" t="str">
        <f aca="false">IF(Eingaben!$B$15="","",Eingaben!$AE$15)</f>
        <v/>
      </c>
    </row>
    <row r="23" customFormat="false" ht="15" hidden="false" customHeight="false" outlineLevel="0" collapsed="false">
      <c r="A23" s="35" t="n">
        <v>2</v>
      </c>
      <c r="B23" s="29" t="str">
        <f aca="false">IF(Eingaben!$B$15="","",Eingaben!$B$15)</f>
        <v/>
      </c>
      <c r="C23" s="35" t="n">
        <v>9</v>
      </c>
      <c r="D23" s="36" t="str">
        <f aca="false">IF(Eingaben!$B$15="","",J22)</f>
        <v/>
      </c>
      <c r="E23" s="36" t="str">
        <f aca="false">IF(Eingaben!$B$15="","",Eingaben!$AC$15*12*(1+Eingaben!$K$15)^(9-1))</f>
        <v/>
      </c>
      <c r="F23" s="41" t="str">
        <f aca="false">IF(Eingaben!$B$15="","",E23/12)</f>
        <v/>
      </c>
      <c r="G23" s="36" t="str">
        <f aca="false">IF(Eingaben!$B$15="","",I23-H23)</f>
        <v/>
      </c>
      <c r="H23" s="36" t="str">
        <f aca="false">IF(Eingaben!$B$15="","",D23-J23)</f>
        <v/>
      </c>
      <c r="I23" s="36" t="str">
        <f aca="false">IF(Eingaben!$B$15="","",P23*12)</f>
        <v/>
      </c>
      <c r="J23" s="36" t="str">
        <f aca="false">IF(Eingaben!$B$15="","",IF(O23=0,MAX(0,D23-P23*12),MAX(0,D23*(1+O23)^12-P23*((1+O23)^12-1)/O23)))</f>
        <v/>
      </c>
      <c r="K23" s="36" t="str">
        <f aca="false">IF(Eingaben!$B$15="","",Eingaben!$M$15)</f>
        <v/>
      </c>
      <c r="L23" s="30" t="str">
        <f aca="false">IF(Eingaben!$B$15="","",'Steuer &amp; AfA'!L23)</f>
        <v/>
      </c>
      <c r="M23" s="42" t="str">
        <f aca="false">IF(Eingaben!$B$15="","",E23+L23-I23-K23)</f>
        <v/>
      </c>
      <c r="N23" s="41" t="str">
        <f aca="false">IF(Eingaben!$B$15="","",M23/12)</f>
        <v/>
      </c>
      <c r="O23" s="21" t="str">
        <f aca="false">IF(Eingaben!$B$15="","",Eingaben!$AF$15)</f>
        <v/>
      </c>
      <c r="P23" s="20" t="str">
        <f aca="false">IF(Eingaben!$B$15="","",Eingaben!$AE$15)</f>
        <v/>
      </c>
    </row>
    <row r="24" customFormat="false" ht="15" hidden="false" customHeight="false" outlineLevel="0" collapsed="false">
      <c r="A24" s="35" t="n">
        <v>2</v>
      </c>
      <c r="B24" s="29" t="str">
        <f aca="false">IF(Eingaben!$B$15="","",Eingaben!$B$15)</f>
        <v/>
      </c>
      <c r="C24" s="35" t="n">
        <v>10</v>
      </c>
      <c r="D24" s="36" t="str">
        <f aca="false">IF(Eingaben!$B$15="","",J23)</f>
        <v/>
      </c>
      <c r="E24" s="36" t="str">
        <f aca="false">IF(Eingaben!$B$15="","",Eingaben!$AC$15*12*(1+Eingaben!$K$15)^(10-1))</f>
        <v/>
      </c>
      <c r="F24" s="41" t="str">
        <f aca="false">IF(Eingaben!$B$15="","",E24/12)</f>
        <v/>
      </c>
      <c r="G24" s="36" t="str">
        <f aca="false">IF(Eingaben!$B$15="","",I24-H24)</f>
        <v/>
      </c>
      <c r="H24" s="36" t="str">
        <f aca="false">IF(Eingaben!$B$15="","",D24-J24)</f>
        <v/>
      </c>
      <c r="I24" s="36" t="str">
        <f aca="false">IF(Eingaben!$B$15="","",P24*12)</f>
        <v/>
      </c>
      <c r="J24" s="36" t="str">
        <f aca="false">IF(Eingaben!$B$15="","",IF(O24=0,MAX(0,D24-P24*12),MAX(0,D24*(1+O24)^12-P24*((1+O24)^12-1)/O24)))</f>
        <v/>
      </c>
      <c r="K24" s="36" t="str">
        <f aca="false">IF(Eingaben!$B$15="","",Eingaben!$M$15)</f>
        <v/>
      </c>
      <c r="L24" s="30" t="str">
        <f aca="false">IF(Eingaben!$B$15="","",'Steuer &amp; AfA'!L24)</f>
        <v/>
      </c>
      <c r="M24" s="42" t="str">
        <f aca="false">IF(Eingaben!$B$15="","",E24+L24-I24-K24)</f>
        <v/>
      </c>
      <c r="N24" s="41" t="str">
        <f aca="false">IF(Eingaben!$B$15="","",M24/12)</f>
        <v/>
      </c>
      <c r="O24" s="21" t="str">
        <f aca="false">IF(Eingaben!$B$15="","",Eingaben!$AF$15)</f>
        <v/>
      </c>
      <c r="P24" s="20" t="str">
        <f aca="false">IF(Eingaben!$B$15="","",Eingaben!$AE$15)</f>
        <v/>
      </c>
    </row>
    <row r="25" customFormat="false" ht="15" hidden="false" customHeight="false" outlineLevel="0" collapsed="false">
      <c r="A25" s="28" t="n">
        <v>3</v>
      </c>
      <c r="B25" s="29" t="str">
        <f aca="false">IF(Eingaben!$B$16="","",Eingaben!$B$16)</f>
        <v/>
      </c>
      <c r="C25" s="28" t="n">
        <v>1</v>
      </c>
      <c r="D25" s="31" t="str">
        <f aca="false">IF(Eingaben!$B$16="","",Eingaben!$AB$16)</f>
        <v/>
      </c>
      <c r="E25" s="31" t="str">
        <f aca="false">IF(Eingaben!$B$16="","",Eingaben!$AC$16*12*(1+Eingaben!$K$16)^(1-1))</f>
        <v/>
      </c>
      <c r="F25" s="39" t="str">
        <f aca="false">IF(Eingaben!$B$16="","",E25/12)</f>
        <v/>
      </c>
      <c r="G25" s="31" t="str">
        <f aca="false">IF(Eingaben!$B$16="","",I25-H25)</f>
        <v/>
      </c>
      <c r="H25" s="31" t="str">
        <f aca="false">IF(Eingaben!$B$16="","",D25-J25)</f>
        <v/>
      </c>
      <c r="I25" s="31" t="str">
        <f aca="false">IF(Eingaben!$B$16="","",P25*12)</f>
        <v/>
      </c>
      <c r="J25" s="31" t="str">
        <f aca="false">IF(Eingaben!$B$16="","",IF(O25=0,MAX(0,D25-P25*12),MAX(0,D25*(1+O25)^12-P25*((1+O25)^12-1)/O25)))</f>
        <v/>
      </c>
      <c r="K25" s="31" t="str">
        <f aca="false">IF(Eingaben!$B$16="","",Eingaben!$M$16)</f>
        <v/>
      </c>
      <c r="L25" s="30" t="str">
        <f aca="false">IF(Eingaben!$B$16="","",'Steuer &amp; AfA'!L25)</f>
        <v/>
      </c>
      <c r="M25" s="40" t="str">
        <f aca="false">IF(Eingaben!$B$16="","",E25+L25-I25-K25)</f>
        <v/>
      </c>
      <c r="N25" s="39" t="str">
        <f aca="false">IF(Eingaben!$B$16="","",M25/12)</f>
        <v/>
      </c>
      <c r="O25" s="21" t="str">
        <f aca="false">IF(Eingaben!$B$16="","",Eingaben!$AF$16)</f>
        <v/>
      </c>
      <c r="P25" s="20" t="str">
        <f aca="false">IF(Eingaben!$B$16="","",Eingaben!$AE$16)</f>
        <v/>
      </c>
    </row>
    <row r="26" customFormat="false" ht="15" hidden="false" customHeight="false" outlineLevel="0" collapsed="false">
      <c r="A26" s="28" t="n">
        <v>3</v>
      </c>
      <c r="B26" s="29" t="str">
        <f aca="false">IF(Eingaben!$B$16="","",Eingaben!$B$16)</f>
        <v/>
      </c>
      <c r="C26" s="28" t="n">
        <v>2</v>
      </c>
      <c r="D26" s="31" t="str">
        <f aca="false">IF(Eingaben!$B$16="","",J25)</f>
        <v/>
      </c>
      <c r="E26" s="31" t="str">
        <f aca="false">IF(Eingaben!$B$16="","",Eingaben!$AC$16*12*(1+Eingaben!$K$16)^(2-1))</f>
        <v/>
      </c>
      <c r="F26" s="39" t="str">
        <f aca="false">IF(Eingaben!$B$16="","",E26/12)</f>
        <v/>
      </c>
      <c r="G26" s="31" t="str">
        <f aca="false">IF(Eingaben!$B$16="","",I26-H26)</f>
        <v/>
      </c>
      <c r="H26" s="31" t="str">
        <f aca="false">IF(Eingaben!$B$16="","",D26-J26)</f>
        <v/>
      </c>
      <c r="I26" s="31" t="str">
        <f aca="false">IF(Eingaben!$B$16="","",P26*12)</f>
        <v/>
      </c>
      <c r="J26" s="31" t="str">
        <f aca="false">IF(Eingaben!$B$16="","",IF(O26=0,MAX(0,D26-P26*12),MAX(0,D26*(1+O26)^12-P26*((1+O26)^12-1)/O26)))</f>
        <v/>
      </c>
      <c r="K26" s="31" t="str">
        <f aca="false">IF(Eingaben!$B$16="","",Eingaben!$M$16)</f>
        <v/>
      </c>
      <c r="L26" s="30" t="str">
        <f aca="false">IF(Eingaben!$B$16="","",'Steuer &amp; AfA'!L26)</f>
        <v/>
      </c>
      <c r="M26" s="40" t="str">
        <f aca="false">IF(Eingaben!$B$16="","",E26+L26-I26-K26)</f>
        <v/>
      </c>
      <c r="N26" s="39" t="str">
        <f aca="false">IF(Eingaben!$B$16="","",M26/12)</f>
        <v/>
      </c>
      <c r="O26" s="21" t="str">
        <f aca="false">IF(Eingaben!$B$16="","",Eingaben!$AF$16)</f>
        <v/>
      </c>
      <c r="P26" s="20" t="str">
        <f aca="false">IF(Eingaben!$B$16="","",Eingaben!$AE$16)</f>
        <v/>
      </c>
    </row>
    <row r="27" customFormat="false" ht="15" hidden="false" customHeight="false" outlineLevel="0" collapsed="false">
      <c r="A27" s="28" t="n">
        <v>3</v>
      </c>
      <c r="B27" s="29" t="str">
        <f aca="false">IF(Eingaben!$B$16="","",Eingaben!$B$16)</f>
        <v/>
      </c>
      <c r="C27" s="28" t="n">
        <v>3</v>
      </c>
      <c r="D27" s="31" t="str">
        <f aca="false">IF(Eingaben!$B$16="","",J26)</f>
        <v/>
      </c>
      <c r="E27" s="31" t="str">
        <f aca="false">IF(Eingaben!$B$16="","",Eingaben!$AC$16*12*(1+Eingaben!$K$16)^(3-1))</f>
        <v/>
      </c>
      <c r="F27" s="39" t="str">
        <f aca="false">IF(Eingaben!$B$16="","",E27/12)</f>
        <v/>
      </c>
      <c r="G27" s="31" t="str">
        <f aca="false">IF(Eingaben!$B$16="","",I27-H27)</f>
        <v/>
      </c>
      <c r="H27" s="31" t="str">
        <f aca="false">IF(Eingaben!$B$16="","",D27-J27)</f>
        <v/>
      </c>
      <c r="I27" s="31" t="str">
        <f aca="false">IF(Eingaben!$B$16="","",P27*12)</f>
        <v/>
      </c>
      <c r="J27" s="31" t="str">
        <f aca="false">IF(Eingaben!$B$16="","",IF(O27=0,MAX(0,D27-P27*12),MAX(0,D27*(1+O27)^12-P27*((1+O27)^12-1)/O27)))</f>
        <v/>
      </c>
      <c r="K27" s="31" t="str">
        <f aca="false">IF(Eingaben!$B$16="","",Eingaben!$M$16)</f>
        <v/>
      </c>
      <c r="L27" s="30" t="str">
        <f aca="false">IF(Eingaben!$B$16="","",'Steuer &amp; AfA'!L27)</f>
        <v/>
      </c>
      <c r="M27" s="40" t="str">
        <f aca="false">IF(Eingaben!$B$16="","",E27+L27-I27-K27)</f>
        <v/>
      </c>
      <c r="N27" s="39" t="str">
        <f aca="false">IF(Eingaben!$B$16="","",M27/12)</f>
        <v/>
      </c>
      <c r="O27" s="21" t="str">
        <f aca="false">IF(Eingaben!$B$16="","",Eingaben!$AF$16)</f>
        <v/>
      </c>
      <c r="P27" s="20" t="str">
        <f aca="false">IF(Eingaben!$B$16="","",Eingaben!$AE$16)</f>
        <v/>
      </c>
    </row>
    <row r="28" customFormat="false" ht="15" hidden="false" customHeight="false" outlineLevel="0" collapsed="false">
      <c r="A28" s="28" t="n">
        <v>3</v>
      </c>
      <c r="B28" s="29" t="str">
        <f aca="false">IF(Eingaben!$B$16="","",Eingaben!$B$16)</f>
        <v/>
      </c>
      <c r="C28" s="28" t="n">
        <v>4</v>
      </c>
      <c r="D28" s="31" t="str">
        <f aca="false">IF(Eingaben!$B$16="","",J27)</f>
        <v/>
      </c>
      <c r="E28" s="31" t="str">
        <f aca="false">IF(Eingaben!$B$16="","",Eingaben!$AC$16*12*(1+Eingaben!$K$16)^(4-1))</f>
        <v/>
      </c>
      <c r="F28" s="39" t="str">
        <f aca="false">IF(Eingaben!$B$16="","",E28/12)</f>
        <v/>
      </c>
      <c r="G28" s="31" t="str">
        <f aca="false">IF(Eingaben!$B$16="","",I28-H28)</f>
        <v/>
      </c>
      <c r="H28" s="31" t="str">
        <f aca="false">IF(Eingaben!$B$16="","",D28-J28)</f>
        <v/>
      </c>
      <c r="I28" s="31" t="str">
        <f aca="false">IF(Eingaben!$B$16="","",P28*12)</f>
        <v/>
      </c>
      <c r="J28" s="31" t="str">
        <f aca="false">IF(Eingaben!$B$16="","",IF(O28=0,MAX(0,D28-P28*12),MAX(0,D28*(1+O28)^12-P28*((1+O28)^12-1)/O28)))</f>
        <v/>
      </c>
      <c r="K28" s="31" t="str">
        <f aca="false">IF(Eingaben!$B$16="","",Eingaben!$M$16)</f>
        <v/>
      </c>
      <c r="L28" s="30" t="str">
        <f aca="false">IF(Eingaben!$B$16="","",'Steuer &amp; AfA'!L28)</f>
        <v/>
      </c>
      <c r="M28" s="40" t="str">
        <f aca="false">IF(Eingaben!$B$16="","",E28+L28-I28-K28)</f>
        <v/>
      </c>
      <c r="N28" s="39" t="str">
        <f aca="false">IF(Eingaben!$B$16="","",M28/12)</f>
        <v/>
      </c>
      <c r="O28" s="21" t="str">
        <f aca="false">IF(Eingaben!$B$16="","",Eingaben!$AF$16)</f>
        <v/>
      </c>
      <c r="P28" s="20" t="str">
        <f aca="false">IF(Eingaben!$B$16="","",Eingaben!$AE$16)</f>
        <v/>
      </c>
    </row>
    <row r="29" customFormat="false" ht="15" hidden="false" customHeight="false" outlineLevel="0" collapsed="false">
      <c r="A29" s="28" t="n">
        <v>3</v>
      </c>
      <c r="B29" s="29" t="str">
        <f aca="false">IF(Eingaben!$B$16="","",Eingaben!$B$16)</f>
        <v/>
      </c>
      <c r="C29" s="28" t="n">
        <v>5</v>
      </c>
      <c r="D29" s="31" t="str">
        <f aca="false">IF(Eingaben!$B$16="","",J28)</f>
        <v/>
      </c>
      <c r="E29" s="31" t="str">
        <f aca="false">IF(Eingaben!$B$16="","",Eingaben!$AC$16*12*(1+Eingaben!$K$16)^(5-1))</f>
        <v/>
      </c>
      <c r="F29" s="39" t="str">
        <f aca="false">IF(Eingaben!$B$16="","",E29/12)</f>
        <v/>
      </c>
      <c r="G29" s="31" t="str">
        <f aca="false">IF(Eingaben!$B$16="","",I29-H29)</f>
        <v/>
      </c>
      <c r="H29" s="31" t="str">
        <f aca="false">IF(Eingaben!$B$16="","",D29-J29)</f>
        <v/>
      </c>
      <c r="I29" s="31" t="str">
        <f aca="false">IF(Eingaben!$B$16="","",P29*12)</f>
        <v/>
      </c>
      <c r="J29" s="31" t="str">
        <f aca="false">IF(Eingaben!$B$16="","",IF(O29=0,MAX(0,D29-P29*12),MAX(0,D29*(1+O29)^12-P29*((1+O29)^12-1)/O29)))</f>
        <v/>
      </c>
      <c r="K29" s="31" t="str">
        <f aca="false">IF(Eingaben!$B$16="","",Eingaben!$M$16)</f>
        <v/>
      </c>
      <c r="L29" s="30" t="str">
        <f aca="false">IF(Eingaben!$B$16="","",'Steuer &amp; AfA'!L29)</f>
        <v/>
      </c>
      <c r="M29" s="40" t="str">
        <f aca="false">IF(Eingaben!$B$16="","",E29+L29-I29-K29)</f>
        <v/>
      </c>
      <c r="N29" s="39" t="str">
        <f aca="false">IF(Eingaben!$B$16="","",M29/12)</f>
        <v/>
      </c>
      <c r="O29" s="21" t="str">
        <f aca="false">IF(Eingaben!$B$16="","",Eingaben!$AF$16)</f>
        <v/>
      </c>
      <c r="P29" s="20" t="str">
        <f aca="false">IF(Eingaben!$B$16="","",Eingaben!$AE$16)</f>
        <v/>
      </c>
    </row>
    <row r="30" customFormat="false" ht="15" hidden="false" customHeight="false" outlineLevel="0" collapsed="false">
      <c r="A30" s="28" t="n">
        <v>3</v>
      </c>
      <c r="B30" s="29" t="str">
        <f aca="false">IF(Eingaben!$B$16="","",Eingaben!$B$16)</f>
        <v/>
      </c>
      <c r="C30" s="28" t="n">
        <v>6</v>
      </c>
      <c r="D30" s="31" t="str">
        <f aca="false">IF(Eingaben!$B$16="","",J29)</f>
        <v/>
      </c>
      <c r="E30" s="31" t="str">
        <f aca="false">IF(Eingaben!$B$16="","",Eingaben!$AC$16*12*(1+Eingaben!$K$16)^(6-1))</f>
        <v/>
      </c>
      <c r="F30" s="39" t="str">
        <f aca="false">IF(Eingaben!$B$16="","",E30/12)</f>
        <v/>
      </c>
      <c r="G30" s="31" t="str">
        <f aca="false">IF(Eingaben!$B$16="","",I30-H30)</f>
        <v/>
      </c>
      <c r="H30" s="31" t="str">
        <f aca="false">IF(Eingaben!$B$16="","",D30-J30)</f>
        <v/>
      </c>
      <c r="I30" s="31" t="str">
        <f aca="false">IF(Eingaben!$B$16="","",P30*12)</f>
        <v/>
      </c>
      <c r="J30" s="31" t="str">
        <f aca="false">IF(Eingaben!$B$16="","",IF(O30=0,MAX(0,D30-P30*12),MAX(0,D30*(1+O30)^12-P30*((1+O30)^12-1)/O30)))</f>
        <v/>
      </c>
      <c r="K30" s="31" t="str">
        <f aca="false">IF(Eingaben!$B$16="","",Eingaben!$M$16)</f>
        <v/>
      </c>
      <c r="L30" s="30" t="str">
        <f aca="false">IF(Eingaben!$B$16="","",'Steuer &amp; AfA'!L30)</f>
        <v/>
      </c>
      <c r="M30" s="40" t="str">
        <f aca="false">IF(Eingaben!$B$16="","",E30+L30-I30-K30)</f>
        <v/>
      </c>
      <c r="N30" s="39" t="str">
        <f aca="false">IF(Eingaben!$B$16="","",M30/12)</f>
        <v/>
      </c>
      <c r="O30" s="21" t="str">
        <f aca="false">IF(Eingaben!$B$16="","",Eingaben!$AF$16)</f>
        <v/>
      </c>
      <c r="P30" s="20" t="str">
        <f aca="false">IF(Eingaben!$B$16="","",Eingaben!$AE$16)</f>
        <v/>
      </c>
    </row>
    <row r="31" customFormat="false" ht="15" hidden="false" customHeight="false" outlineLevel="0" collapsed="false">
      <c r="A31" s="28" t="n">
        <v>3</v>
      </c>
      <c r="B31" s="29" t="str">
        <f aca="false">IF(Eingaben!$B$16="","",Eingaben!$B$16)</f>
        <v/>
      </c>
      <c r="C31" s="28" t="n">
        <v>7</v>
      </c>
      <c r="D31" s="31" t="str">
        <f aca="false">IF(Eingaben!$B$16="","",J30)</f>
        <v/>
      </c>
      <c r="E31" s="31" t="str">
        <f aca="false">IF(Eingaben!$B$16="","",Eingaben!$AC$16*12*(1+Eingaben!$K$16)^(7-1))</f>
        <v/>
      </c>
      <c r="F31" s="39" t="str">
        <f aca="false">IF(Eingaben!$B$16="","",E31/12)</f>
        <v/>
      </c>
      <c r="G31" s="31" t="str">
        <f aca="false">IF(Eingaben!$B$16="","",I31-H31)</f>
        <v/>
      </c>
      <c r="H31" s="31" t="str">
        <f aca="false">IF(Eingaben!$B$16="","",D31-J31)</f>
        <v/>
      </c>
      <c r="I31" s="31" t="str">
        <f aca="false">IF(Eingaben!$B$16="","",P31*12)</f>
        <v/>
      </c>
      <c r="J31" s="31" t="str">
        <f aca="false">IF(Eingaben!$B$16="","",IF(O31=0,MAX(0,D31-P31*12),MAX(0,D31*(1+O31)^12-P31*((1+O31)^12-1)/O31)))</f>
        <v/>
      </c>
      <c r="K31" s="31" t="str">
        <f aca="false">IF(Eingaben!$B$16="","",Eingaben!$M$16)</f>
        <v/>
      </c>
      <c r="L31" s="30" t="str">
        <f aca="false">IF(Eingaben!$B$16="","",'Steuer &amp; AfA'!L31)</f>
        <v/>
      </c>
      <c r="M31" s="40" t="str">
        <f aca="false">IF(Eingaben!$B$16="","",E31+L31-I31-K31)</f>
        <v/>
      </c>
      <c r="N31" s="39" t="str">
        <f aca="false">IF(Eingaben!$B$16="","",M31/12)</f>
        <v/>
      </c>
      <c r="O31" s="21" t="str">
        <f aca="false">IF(Eingaben!$B$16="","",Eingaben!$AF$16)</f>
        <v/>
      </c>
      <c r="P31" s="20" t="str">
        <f aca="false">IF(Eingaben!$B$16="","",Eingaben!$AE$16)</f>
        <v/>
      </c>
    </row>
    <row r="32" customFormat="false" ht="15" hidden="false" customHeight="false" outlineLevel="0" collapsed="false">
      <c r="A32" s="28" t="n">
        <v>3</v>
      </c>
      <c r="B32" s="29" t="str">
        <f aca="false">IF(Eingaben!$B$16="","",Eingaben!$B$16)</f>
        <v/>
      </c>
      <c r="C32" s="28" t="n">
        <v>8</v>
      </c>
      <c r="D32" s="31" t="str">
        <f aca="false">IF(Eingaben!$B$16="","",J31)</f>
        <v/>
      </c>
      <c r="E32" s="31" t="str">
        <f aca="false">IF(Eingaben!$B$16="","",Eingaben!$AC$16*12*(1+Eingaben!$K$16)^(8-1))</f>
        <v/>
      </c>
      <c r="F32" s="39" t="str">
        <f aca="false">IF(Eingaben!$B$16="","",E32/12)</f>
        <v/>
      </c>
      <c r="G32" s="31" t="str">
        <f aca="false">IF(Eingaben!$B$16="","",I32-H32)</f>
        <v/>
      </c>
      <c r="H32" s="31" t="str">
        <f aca="false">IF(Eingaben!$B$16="","",D32-J32)</f>
        <v/>
      </c>
      <c r="I32" s="31" t="str">
        <f aca="false">IF(Eingaben!$B$16="","",P32*12)</f>
        <v/>
      </c>
      <c r="J32" s="31" t="str">
        <f aca="false">IF(Eingaben!$B$16="","",IF(O32=0,MAX(0,D32-P32*12),MAX(0,D32*(1+O32)^12-P32*((1+O32)^12-1)/O32)))</f>
        <v/>
      </c>
      <c r="K32" s="31" t="str">
        <f aca="false">IF(Eingaben!$B$16="","",Eingaben!$M$16)</f>
        <v/>
      </c>
      <c r="L32" s="30" t="str">
        <f aca="false">IF(Eingaben!$B$16="","",'Steuer &amp; AfA'!L32)</f>
        <v/>
      </c>
      <c r="M32" s="40" t="str">
        <f aca="false">IF(Eingaben!$B$16="","",E32+L32-I32-K32)</f>
        <v/>
      </c>
      <c r="N32" s="39" t="str">
        <f aca="false">IF(Eingaben!$B$16="","",M32/12)</f>
        <v/>
      </c>
      <c r="O32" s="21" t="str">
        <f aca="false">IF(Eingaben!$B$16="","",Eingaben!$AF$16)</f>
        <v/>
      </c>
      <c r="P32" s="20" t="str">
        <f aca="false">IF(Eingaben!$B$16="","",Eingaben!$AE$16)</f>
        <v/>
      </c>
    </row>
    <row r="33" customFormat="false" ht="15" hidden="false" customHeight="false" outlineLevel="0" collapsed="false">
      <c r="A33" s="28" t="n">
        <v>3</v>
      </c>
      <c r="B33" s="29" t="str">
        <f aca="false">IF(Eingaben!$B$16="","",Eingaben!$B$16)</f>
        <v/>
      </c>
      <c r="C33" s="28" t="n">
        <v>9</v>
      </c>
      <c r="D33" s="31" t="str">
        <f aca="false">IF(Eingaben!$B$16="","",J32)</f>
        <v/>
      </c>
      <c r="E33" s="31" t="str">
        <f aca="false">IF(Eingaben!$B$16="","",Eingaben!$AC$16*12*(1+Eingaben!$K$16)^(9-1))</f>
        <v/>
      </c>
      <c r="F33" s="39" t="str">
        <f aca="false">IF(Eingaben!$B$16="","",E33/12)</f>
        <v/>
      </c>
      <c r="G33" s="31" t="str">
        <f aca="false">IF(Eingaben!$B$16="","",I33-H33)</f>
        <v/>
      </c>
      <c r="H33" s="31" t="str">
        <f aca="false">IF(Eingaben!$B$16="","",D33-J33)</f>
        <v/>
      </c>
      <c r="I33" s="31" t="str">
        <f aca="false">IF(Eingaben!$B$16="","",P33*12)</f>
        <v/>
      </c>
      <c r="J33" s="31" t="str">
        <f aca="false">IF(Eingaben!$B$16="","",IF(O33=0,MAX(0,D33-P33*12),MAX(0,D33*(1+O33)^12-P33*((1+O33)^12-1)/O33)))</f>
        <v/>
      </c>
      <c r="K33" s="31" t="str">
        <f aca="false">IF(Eingaben!$B$16="","",Eingaben!$M$16)</f>
        <v/>
      </c>
      <c r="L33" s="30" t="str">
        <f aca="false">IF(Eingaben!$B$16="","",'Steuer &amp; AfA'!L33)</f>
        <v/>
      </c>
      <c r="M33" s="40" t="str">
        <f aca="false">IF(Eingaben!$B$16="","",E33+L33-I33-K33)</f>
        <v/>
      </c>
      <c r="N33" s="39" t="str">
        <f aca="false">IF(Eingaben!$B$16="","",M33/12)</f>
        <v/>
      </c>
      <c r="O33" s="21" t="str">
        <f aca="false">IF(Eingaben!$B$16="","",Eingaben!$AF$16)</f>
        <v/>
      </c>
      <c r="P33" s="20" t="str">
        <f aca="false">IF(Eingaben!$B$16="","",Eingaben!$AE$16)</f>
        <v/>
      </c>
    </row>
    <row r="34" customFormat="false" ht="15" hidden="false" customHeight="false" outlineLevel="0" collapsed="false">
      <c r="A34" s="28" t="n">
        <v>3</v>
      </c>
      <c r="B34" s="29" t="str">
        <f aca="false">IF(Eingaben!$B$16="","",Eingaben!$B$16)</f>
        <v/>
      </c>
      <c r="C34" s="28" t="n">
        <v>10</v>
      </c>
      <c r="D34" s="31" t="str">
        <f aca="false">IF(Eingaben!$B$16="","",J33)</f>
        <v/>
      </c>
      <c r="E34" s="31" t="str">
        <f aca="false">IF(Eingaben!$B$16="","",Eingaben!$AC$16*12*(1+Eingaben!$K$16)^(10-1))</f>
        <v/>
      </c>
      <c r="F34" s="39" t="str">
        <f aca="false">IF(Eingaben!$B$16="","",E34/12)</f>
        <v/>
      </c>
      <c r="G34" s="31" t="str">
        <f aca="false">IF(Eingaben!$B$16="","",I34-H34)</f>
        <v/>
      </c>
      <c r="H34" s="31" t="str">
        <f aca="false">IF(Eingaben!$B$16="","",D34-J34)</f>
        <v/>
      </c>
      <c r="I34" s="31" t="str">
        <f aca="false">IF(Eingaben!$B$16="","",P34*12)</f>
        <v/>
      </c>
      <c r="J34" s="31" t="str">
        <f aca="false">IF(Eingaben!$B$16="","",IF(O34=0,MAX(0,D34-P34*12),MAX(0,D34*(1+O34)^12-P34*((1+O34)^12-1)/O34)))</f>
        <v/>
      </c>
      <c r="K34" s="31" t="str">
        <f aca="false">IF(Eingaben!$B$16="","",Eingaben!$M$16)</f>
        <v/>
      </c>
      <c r="L34" s="30" t="str">
        <f aca="false">IF(Eingaben!$B$16="","",'Steuer &amp; AfA'!L34)</f>
        <v/>
      </c>
      <c r="M34" s="40" t="str">
        <f aca="false">IF(Eingaben!$B$16="","",E34+L34-I34-K34)</f>
        <v/>
      </c>
      <c r="N34" s="39" t="str">
        <f aca="false">IF(Eingaben!$B$16="","",M34/12)</f>
        <v/>
      </c>
      <c r="O34" s="21" t="str">
        <f aca="false">IF(Eingaben!$B$16="","",Eingaben!$AF$16)</f>
        <v/>
      </c>
      <c r="P34" s="20" t="str">
        <f aca="false">IF(Eingaben!$B$16="","",Eingaben!$AE$16)</f>
        <v/>
      </c>
    </row>
    <row r="35" customFormat="false" ht="15" hidden="false" customHeight="false" outlineLevel="0" collapsed="false">
      <c r="A35" s="35" t="n">
        <v>4</v>
      </c>
      <c r="B35" s="29" t="str">
        <f aca="false">IF(Eingaben!$B$17="","",Eingaben!$B$17)</f>
        <v/>
      </c>
      <c r="C35" s="35" t="n">
        <v>1</v>
      </c>
      <c r="D35" s="36" t="str">
        <f aca="false">IF(Eingaben!$B$17="","",Eingaben!$AB$17)</f>
        <v/>
      </c>
      <c r="E35" s="36" t="str">
        <f aca="false">IF(Eingaben!$B$17="","",Eingaben!$AC$17*12*(1+Eingaben!$K$17)^(1-1))</f>
        <v/>
      </c>
      <c r="F35" s="41" t="str">
        <f aca="false">IF(Eingaben!$B$17="","",E35/12)</f>
        <v/>
      </c>
      <c r="G35" s="36" t="str">
        <f aca="false">IF(Eingaben!$B$17="","",I35-H35)</f>
        <v/>
      </c>
      <c r="H35" s="36" t="str">
        <f aca="false">IF(Eingaben!$B$17="","",D35-J35)</f>
        <v/>
      </c>
      <c r="I35" s="36" t="str">
        <f aca="false">IF(Eingaben!$B$17="","",P35*12)</f>
        <v/>
      </c>
      <c r="J35" s="36" t="str">
        <f aca="false">IF(Eingaben!$B$17="","",IF(O35=0,MAX(0,D35-P35*12),MAX(0,D35*(1+O35)^12-P35*((1+O35)^12-1)/O35)))</f>
        <v/>
      </c>
      <c r="K35" s="36" t="str">
        <f aca="false">IF(Eingaben!$B$17="","",Eingaben!$M$17)</f>
        <v/>
      </c>
      <c r="L35" s="30" t="str">
        <f aca="false">IF(Eingaben!$B$17="","",'Steuer &amp; AfA'!L35)</f>
        <v/>
      </c>
      <c r="M35" s="42" t="str">
        <f aca="false">IF(Eingaben!$B$17="","",E35+L35-I35-K35)</f>
        <v/>
      </c>
      <c r="N35" s="41" t="str">
        <f aca="false">IF(Eingaben!$B$17="","",M35/12)</f>
        <v/>
      </c>
      <c r="O35" s="21" t="str">
        <f aca="false">IF(Eingaben!$B$17="","",Eingaben!$AF$17)</f>
        <v/>
      </c>
      <c r="P35" s="20" t="str">
        <f aca="false">IF(Eingaben!$B$17="","",Eingaben!$AE$17)</f>
        <v/>
      </c>
    </row>
    <row r="36" customFormat="false" ht="15" hidden="false" customHeight="false" outlineLevel="0" collapsed="false">
      <c r="A36" s="35" t="n">
        <v>4</v>
      </c>
      <c r="B36" s="29" t="str">
        <f aca="false">IF(Eingaben!$B$17="","",Eingaben!$B$17)</f>
        <v/>
      </c>
      <c r="C36" s="35" t="n">
        <v>2</v>
      </c>
      <c r="D36" s="36" t="str">
        <f aca="false">IF(Eingaben!$B$17="","",J35)</f>
        <v/>
      </c>
      <c r="E36" s="36" t="str">
        <f aca="false">IF(Eingaben!$B$17="","",Eingaben!$AC$17*12*(1+Eingaben!$K$17)^(2-1))</f>
        <v/>
      </c>
      <c r="F36" s="41" t="str">
        <f aca="false">IF(Eingaben!$B$17="","",E36/12)</f>
        <v/>
      </c>
      <c r="G36" s="36" t="str">
        <f aca="false">IF(Eingaben!$B$17="","",I36-H36)</f>
        <v/>
      </c>
      <c r="H36" s="36" t="str">
        <f aca="false">IF(Eingaben!$B$17="","",D36-J36)</f>
        <v/>
      </c>
      <c r="I36" s="36" t="str">
        <f aca="false">IF(Eingaben!$B$17="","",P36*12)</f>
        <v/>
      </c>
      <c r="J36" s="36" t="str">
        <f aca="false">IF(Eingaben!$B$17="","",IF(O36=0,MAX(0,D36-P36*12),MAX(0,D36*(1+O36)^12-P36*((1+O36)^12-1)/O36)))</f>
        <v/>
      </c>
      <c r="K36" s="36" t="str">
        <f aca="false">IF(Eingaben!$B$17="","",Eingaben!$M$17)</f>
        <v/>
      </c>
      <c r="L36" s="30" t="str">
        <f aca="false">IF(Eingaben!$B$17="","",'Steuer &amp; AfA'!L36)</f>
        <v/>
      </c>
      <c r="M36" s="42" t="str">
        <f aca="false">IF(Eingaben!$B$17="","",E36+L36-I36-K36)</f>
        <v/>
      </c>
      <c r="N36" s="41" t="str">
        <f aca="false">IF(Eingaben!$B$17="","",M36/12)</f>
        <v/>
      </c>
      <c r="O36" s="21" t="str">
        <f aca="false">IF(Eingaben!$B$17="","",Eingaben!$AF$17)</f>
        <v/>
      </c>
      <c r="P36" s="20" t="str">
        <f aca="false">IF(Eingaben!$B$17="","",Eingaben!$AE$17)</f>
        <v/>
      </c>
    </row>
    <row r="37" customFormat="false" ht="15" hidden="false" customHeight="false" outlineLevel="0" collapsed="false">
      <c r="A37" s="35" t="n">
        <v>4</v>
      </c>
      <c r="B37" s="29" t="str">
        <f aca="false">IF(Eingaben!$B$17="","",Eingaben!$B$17)</f>
        <v/>
      </c>
      <c r="C37" s="35" t="n">
        <v>3</v>
      </c>
      <c r="D37" s="36" t="str">
        <f aca="false">IF(Eingaben!$B$17="","",J36)</f>
        <v/>
      </c>
      <c r="E37" s="36" t="str">
        <f aca="false">IF(Eingaben!$B$17="","",Eingaben!$AC$17*12*(1+Eingaben!$K$17)^(3-1))</f>
        <v/>
      </c>
      <c r="F37" s="41" t="str">
        <f aca="false">IF(Eingaben!$B$17="","",E37/12)</f>
        <v/>
      </c>
      <c r="G37" s="36" t="str">
        <f aca="false">IF(Eingaben!$B$17="","",I37-H37)</f>
        <v/>
      </c>
      <c r="H37" s="36" t="str">
        <f aca="false">IF(Eingaben!$B$17="","",D37-J37)</f>
        <v/>
      </c>
      <c r="I37" s="36" t="str">
        <f aca="false">IF(Eingaben!$B$17="","",P37*12)</f>
        <v/>
      </c>
      <c r="J37" s="36" t="str">
        <f aca="false">IF(Eingaben!$B$17="","",IF(O37=0,MAX(0,D37-P37*12),MAX(0,D37*(1+O37)^12-P37*((1+O37)^12-1)/O37)))</f>
        <v/>
      </c>
      <c r="K37" s="36" t="str">
        <f aca="false">IF(Eingaben!$B$17="","",Eingaben!$M$17)</f>
        <v/>
      </c>
      <c r="L37" s="30" t="str">
        <f aca="false">IF(Eingaben!$B$17="","",'Steuer &amp; AfA'!L37)</f>
        <v/>
      </c>
      <c r="M37" s="42" t="str">
        <f aca="false">IF(Eingaben!$B$17="","",E37+L37-I37-K37)</f>
        <v/>
      </c>
      <c r="N37" s="41" t="str">
        <f aca="false">IF(Eingaben!$B$17="","",M37/12)</f>
        <v/>
      </c>
      <c r="O37" s="21" t="str">
        <f aca="false">IF(Eingaben!$B$17="","",Eingaben!$AF$17)</f>
        <v/>
      </c>
      <c r="P37" s="20" t="str">
        <f aca="false">IF(Eingaben!$B$17="","",Eingaben!$AE$17)</f>
        <v/>
      </c>
    </row>
    <row r="38" customFormat="false" ht="15" hidden="false" customHeight="false" outlineLevel="0" collapsed="false">
      <c r="A38" s="35" t="n">
        <v>4</v>
      </c>
      <c r="B38" s="29" t="str">
        <f aca="false">IF(Eingaben!$B$17="","",Eingaben!$B$17)</f>
        <v/>
      </c>
      <c r="C38" s="35" t="n">
        <v>4</v>
      </c>
      <c r="D38" s="36" t="str">
        <f aca="false">IF(Eingaben!$B$17="","",J37)</f>
        <v/>
      </c>
      <c r="E38" s="36" t="str">
        <f aca="false">IF(Eingaben!$B$17="","",Eingaben!$AC$17*12*(1+Eingaben!$K$17)^(4-1))</f>
        <v/>
      </c>
      <c r="F38" s="41" t="str">
        <f aca="false">IF(Eingaben!$B$17="","",E38/12)</f>
        <v/>
      </c>
      <c r="G38" s="36" t="str">
        <f aca="false">IF(Eingaben!$B$17="","",I38-H38)</f>
        <v/>
      </c>
      <c r="H38" s="36" t="str">
        <f aca="false">IF(Eingaben!$B$17="","",D38-J38)</f>
        <v/>
      </c>
      <c r="I38" s="36" t="str">
        <f aca="false">IF(Eingaben!$B$17="","",P38*12)</f>
        <v/>
      </c>
      <c r="J38" s="36" t="str">
        <f aca="false">IF(Eingaben!$B$17="","",IF(O38=0,MAX(0,D38-P38*12),MAX(0,D38*(1+O38)^12-P38*((1+O38)^12-1)/O38)))</f>
        <v/>
      </c>
      <c r="K38" s="36" t="str">
        <f aca="false">IF(Eingaben!$B$17="","",Eingaben!$M$17)</f>
        <v/>
      </c>
      <c r="L38" s="30" t="str">
        <f aca="false">IF(Eingaben!$B$17="","",'Steuer &amp; AfA'!L38)</f>
        <v/>
      </c>
      <c r="M38" s="42" t="str">
        <f aca="false">IF(Eingaben!$B$17="","",E38+L38-I38-K38)</f>
        <v/>
      </c>
      <c r="N38" s="41" t="str">
        <f aca="false">IF(Eingaben!$B$17="","",M38/12)</f>
        <v/>
      </c>
      <c r="O38" s="21" t="str">
        <f aca="false">IF(Eingaben!$B$17="","",Eingaben!$AF$17)</f>
        <v/>
      </c>
      <c r="P38" s="20" t="str">
        <f aca="false">IF(Eingaben!$B$17="","",Eingaben!$AE$17)</f>
        <v/>
      </c>
    </row>
    <row r="39" customFormat="false" ht="15" hidden="false" customHeight="false" outlineLevel="0" collapsed="false">
      <c r="A39" s="35" t="n">
        <v>4</v>
      </c>
      <c r="B39" s="29" t="str">
        <f aca="false">IF(Eingaben!$B$17="","",Eingaben!$B$17)</f>
        <v/>
      </c>
      <c r="C39" s="35" t="n">
        <v>5</v>
      </c>
      <c r="D39" s="36" t="str">
        <f aca="false">IF(Eingaben!$B$17="","",J38)</f>
        <v/>
      </c>
      <c r="E39" s="36" t="str">
        <f aca="false">IF(Eingaben!$B$17="","",Eingaben!$AC$17*12*(1+Eingaben!$K$17)^(5-1))</f>
        <v/>
      </c>
      <c r="F39" s="41" t="str">
        <f aca="false">IF(Eingaben!$B$17="","",E39/12)</f>
        <v/>
      </c>
      <c r="G39" s="36" t="str">
        <f aca="false">IF(Eingaben!$B$17="","",I39-H39)</f>
        <v/>
      </c>
      <c r="H39" s="36" t="str">
        <f aca="false">IF(Eingaben!$B$17="","",D39-J39)</f>
        <v/>
      </c>
      <c r="I39" s="36" t="str">
        <f aca="false">IF(Eingaben!$B$17="","",P39*12)</f>
        <v/>
      </c>
      <c r="J39" s="36" t="str">
        <f aca="false">IF(Eingaben!$B$17="","",IF(O39=0,MAX(0,D39-P39*12),MAX(0,D39*(1+O39)^12-P39*((1+O39)^12-1)/O39)))</f>
        <v/>
      </c>
      <c r="K39" s="36" t="str">
        <f aca="false">IF(Eingaben!$B$17="","",Eingaben!$M$17)</f>
        <v/>
      </c>
      <c r="L39" s="30" t="str">
        <f aca="false">IF(Eingaben!$B$17="","",'Steuer &amp; AfA'!L39)</f>
        <v/>
      </c>
      <c r="M39" s="42" t="str">
        <f aca="false">IF(Eingaben!$B$17="","",E39+L39-I39-K39)</f>
        <v/>
      </c>
      <c r="N39" s="41" t="str">
        <f aca="false">IF(Eingaben!$B$17="","",M39/12)</f>
        <v/>
      </c>
      <c r="O39" s="21" t="str">
        <f aca="false">IF(Eingaben!$B$17="","",Eingaben!$AF$17)</f>
        <v/>
      </c>
      <c r="P39" s="20" t="str">
        <f aca="false">IF(Eingaben!$B$17="","",Eingaben!$AE$17)</f>
        <v/>
      </c>
    </row>
    <row r="40" customFormat="false" ht="15" hidden="false" customHeight="false" outlineLevel="0" collapsed="false">
      <c r="A40" s="35" t="n">
        <v>4</v>
      </c>
      <c r="B40" s="29" t="str">
        <f aca="false">IF(Eingaben!$B$17="","",Eingaben!$B$17)</f>
        <v/>
      </c>
      <c r="C40" s="35" t="n">
        <v>6</v>
      </c>
      <c r="D40" s="36" t="str">
        <f aca="false">IF(Eingaben!$B$17="","",J39)</f>
        <v/>
      </c>
      <c r="E40" s="36" t="str">
        <f aca="false">IF(Eingaben!$B$17="","",Eingaben!$AC$17*12*(1+Eingaben!$K$17)^(6-1))</f>
        <v/>
      </c>
      <c r="F40" s="41" t="str">
        <f aca="false">IF(Eingaben!$B$17="","",E40/12)</f>
        <v/>
      </c>
      <c r="G40" s="36" t="str">
        <f aca="false">IF(Eingaben!$B$17="","",I40-H40)</f>
        <v/>
      </c>
      <c r="H40" s="36" t="str">
        <f aca="false">IF(Eingaben!$B$17="","",D40-J40)</f>
        <v/>
      </c>
      <c r="I40" s="36" t="str">
        <f aca="false">IF(Eingaben!$B$17="","",P40*12)</f>
        <v/>
      </c>
      <c r="J40" s="36" t="str">
        <f aca="false">IF(Eingaben!$B$17="","",IF(O40=0,MAX(0,D40-P40*12),MAX(0,D40*(1+O40)^12-P40*((1+O40)^12-1)/O40)))</f>
        <v/>
      </c>
      <c r="K40" s="36" t="str">
        <f aca="false">IF(Eingaben!$B$17="","",Eingaben!$M$17)</f>
        <v/>
      </c>
      <c r="L40" s="30" t="str">
        <f aca="false">IF(Eingaben!$B$17="","",'Steuer &amp; AfA'!L40)</f>
        <v/>
      </c>
      <c r="M40" s="42" t="str">
        <f aca="false">IF(Eingaben!$B$17="","",E40+L40-I40-K40)</f>
        <v/>
      </c>
      <c r="N40" s="41" t="str">
        <f aca="false">IF(Eingaben!$B$17="","",M40/12)</f>
        <v/>
      </c>
      <c r="O40" s="21" t="str">
        <f aca="false">IF(Eingaben!$B$17="","",Eingaben!$AF$17)</f>
        <v/>
      </c>
      <c r="P40" s="20" t="str">
        <f aca="false">IF(Eingaben!$B$17="","",Eingaben!$AE$17)</f>
        <v/>
      </c>
    </row>
    <row r="41" customFormat="false" ht="15" hidden="false" customHeight="false" outlineLevel="0" collapsed="false">
      <c r="A41" s="35" t="n">
        <v>4</v>
      </c>
      <c r="B41" s="29" t="str">
        <f aca="false">IF(Eingaben!$B$17="","",Eingaben!$B$17)</f>
        <v/>
      </c>
      <c r="C41" s="35" t="n">
        <v>7</v>
      </c>
      <c r="D41" s="36" t="str">
        <f aca="false">IF(Eingaben!$B$17="","",J40)</f>
        <v/>
      </c>
      <c r="E41" s="36" t="str">
        <f aca="false">IF(Eingaben!$B$17="","",Eingaben!$AC$17*12*(1+Eingaben!$K$17)^(7-1))</f>
        <v/>
      </c>
      <c r="F41" s="41" t="str">
        <f aca="false">IF(Eingaben!$B$17="","",E41/12)</f>
        <v/>
      </c>
      <c r="G41" s="36" t="str">
        <f aca="false">IF(Eingaben!$B$17="","",I41-H41)</f>
        <v/>
      </c>
      <c r="H41" s="36" t="str">
        <f aca="false">IF(Eingaben!$B$17="","",D41-J41)</f>
        <v/>
      </c>
      <c r="I41" s="36" t="str">
        <f aca="false">IF(Eingaben!$B$17="","",P41*12)</f>
        <v/>
      </c>
      <c r="J41" s="36" t="str">
        <f aca="false">IF(Eingaben!$B$17="","",IF(O41=0,MAX(0,D41-P41*12),MAX(0,D41*(1+O41)^12-P41*((1+O41)^12-1)/O41)))</f>
        <v/>
      </c>
      <c r="K41" s="36" t="str">
        <f aca="false">IF(Eingaben!$B$17="","",Eingaben!$M$17)</f>
        <v/>
      </c>
      <c r="L41" s="30" t="str">
        <f aca="false">IF(Eingaben!$B$17="","",'Steuer &amp; AfA'!L41)</f>
        <v/>
      </c>
      <c r="M41" s="42" t="str">
        <f aca="false">IF(Eingaben!$B$17="","",E41+L41-I41-K41)</f>
        <v/>
      </c>
      <c r="N41" s="41" t="str">
        <f aca="false">IF(Eingaben!$B$17="","",M41/12)</f>
        <v/>
      </c>
      <c r="O41" s="21" t="str">
        <f aca="false">IF(Eingaben!$B$17="","",Eingaben!$AF$17)</f>
        <v/>
      </c>
      <c r="P41" s="20" t="str">
        <f aca="false">IF(Eingaben!$B$17="","",Eingaben!$AE$17)</f>
        <v/>
      </c>
    </row>
    <row r="42" customFormat="false" ht="15" hidden="false" customHeight="false" outlineLevel="0" collapsed="false">
      <c r="A42" s="35" t="n">
        <v>4</v>
      </c>
      <c r="B42" s="29" t="str">
        <f aca="false">IF(Eingaben!$B$17="","",Eingaben!$B$17)</f>
        <v/>
      </c>
      <c r="C42" s="35" t="n">
        <v>8</v>
      </c>
      <c r="D42" s="36" t="str">
        <f aca="false">IF(Eingaben!$B$17="","",J41)</f>
        <v/>
      </c>
      <c r="E42" s="36" t="str">
        <f aca="false">IF(Eingaben!$B$17="","",Eingaben!$AC$17*12*(1+Eingaben!$K$17)^(8-1))</f>
        <v/>
      </c>
      <c r="F42" s="41" t="str">
        <f aca="false">IF(Eingaben!$B$17="","",E42/12)</f>
        <v/>
      </c>
      <c r="G42" s="36" t="str">
        <f aca="false">IF(Eingaben!$B$17="","",I42-H42)</f>
        <v/>
      </c>
      <c r="H42" s="36" t="str">
        <f aca="false">IF(Eingaben!$B$17="","",D42-J42)</f>
        <v/>
      </c>
      <c r="I42" s="36" t="str">
        <f aca="false">IF(Eingaben!$B$17="","",P42*12)</f>
        <v/>
      </c>
      <c r="J42" s="36" t="str">
        <f aca="false">IF(Eingaben!$B$17="","",IF(O42=0,MAX(0,D42-P42*12),MAX(0,D42*(1+O42)^12-P42*((1+O42)^12-1)/O42)))</f>
        <v/>
      </c>
      <c r="K42" s="36" t="str">
        <f aca="false">IF(Eingaben!$B$17="","",Eingaben!$M$17)</f>
        <v/>
      </c>
      <c r="L42" s="30" t="str">
        <f aca="false">IF(Eingaben!$B$17="","",'Steuer &amp; AfA'!L42)</f>
        <v/>
      </c>
      <c r="M42" s="42" t="str">
        <f aca="false">IF(Eingaben!$B$17="","",E42+L42-I42-K42)</f>
        <v/>
      </c>
      <c r="N42" s="41" t="str">
        <f aca="false">IF(Eingaben!$B$17="","",M42/12)</f>
        <v/>
      </c>
      <c r="O42" s="21" t="str">
        <f aca="false">IF(Eingaben!$B$17="","",Eingaben!$AF$17)</f>
        <v/>
      </c>
      <c r="P42" s="20" t="str">
        <f aca="false">IF(Eingaben!$B$17="","",Eingaben!$AE$17)</f>
        <v/>
      </c>
    </row>
    <row r="43" customFormat="false" ht="15" hidden="false" customHeight="false" outlineLevel="0" collapsed="false">
      <c r="A43" s="35" t="n">
        <v>4</v>
      </c>
      <c r="B43" s="29" t="str">
        <f aca="false">IF(Eingaben!$B$17="","",Eingaben!$B$17)</f>
        <v/>
      </c>
      <c r="C43" s="35" t="n">
        <v>9</v>
      </c>
      <c r="D43" s="36" t="str">
        <f aca="false">IF(Eingaben!$B$17="","",J42)</f>
        <v/>
      </c>
      <c r="E43" s="36" t="str">
        <f aca="false">IF(Eingaben!$B$17="","",Eingaben!$AC$17*12*(1+Eingaben!$K$17)^(9-1))</f>
        <v/>
      </c>
      <c r="F43" s="41" t="str">
        <f aca="false">IF(Eingaben!$B$17="","",E43/12)</f>
        <v/>
      </c>
      <c r="G43" s="36" t="str">
        <f aca="false">IF(Eingaben!$B$17="","",I43-H43)</f>
        <v/>
      </c>
      <c r="H43" s="36" t="str">
        <f aca="false">IF(Eingaben!$B$17="","",D43-J43)</f>
        <v/>
      </c>
      <c r="I43" s="36" t="str">
        <f aca="false">IF(Eingaben!$B$17="","",P43*12)</f>
        <v/>
      </c>
      <c r="J43" s="36" t="str">
        <f aca="false">IF(Eingaben!$B$17="","",IF(O43=0,MAX(0,D43-P43*12),MAX(0,D43*(1+O43)^12-P43*((1+O43)^12-1)/O43)))</f>
        <v/>
      </c>
      <c r="K43" s="36" t="str">
        <f aca="false">IF(Eingaben!$B$17="","",Eingaben!$M$17)</f>
        <v/>
      </c>
      <c r="L43" s="30" t="str">
        <f aca="false">IF(Eingaben!$B$17="","",'Steuer &amp; AfA'!L43)</f>
        <v/>
      </c>
      <c r="M43" s="42" t="str">
        <f aca="false">IF(Eingaben!$B$17="","",E43+L43-I43-K43)</f>
        <v/>
      </c>
      <c r="N43" s="41" t="str">
        <f aca="false">IF(Eingaben!$B$17="","",M43/12)</f>
        <v/>
      </c>
      <c r="O43" s="21" t="str">
        <f aca="false">IF(Eingaben!$B$17="","",Eingaben!$AF$17)</f>
        <v/>
      </c>
      <c r="P43" s="20" t="str">
        <f aca="false">IF(Eingaben!$B$17="","",Eingaben!$AE$17)</f>
        <v/>
      </c>
    </row>
    <row r="44" customFormat="false" ht="15" hidden="false" customHeight="false" outlineLevel="0" collapsed="false">
      <c r="A44" s="35" t="n">
        <v>4</v>
      </c>
      <c r="B44" s="29" t="str">
        <f aca="false">IF(Eingaben!$B$17="","",Eingaben!$B$17)</f>
        <v/>
      </c>
      <c r="C44" s="35" t="n">
        <v>10</v>
      </c>
      <c r="D44" s="36" t="str">
        <f aca="false">IF(Eingaben!$B$17="","",J43)</f>
        <v/>
      </c>
      <c r="E44" s="36" t="str">
        <f aca="false">IF(Eingaben!$B$17="","",Eingaben!$AC$17*12*(1+Eingaben!$K$17)^(10-1))</f>
        <v/>
      </c>
      <c r="F44" s="41" t="str">
        <f aca="false">IF(Eingaben!$B$17="","",E44/12)</f>
        <v/>
      </c>
      <c r="G44" s="36" t="str">
        <f aca="false">IF(Eingaben!$B$17="","",I44-H44)</f>
        <v/>
      </c>
      <c r="H44" s="36" t="str">
        <f aca="false">IF(Eingaben!$B$17="","",D44-J44)</f>
        <v/>
      </c>
      <c r="I44" s="36" t="str">
        <f aca="false">IF(Eingaben!$B$17="","",P44*12)</f>
        <v/>
      </c>
      <c r="J44" s="36" t="str">
        <f aca="false">IF(Eingaben!$B$17="","",IF(O44=0,MAX(0,D44-P44*12),MAX(0,D44*(1+O44)^12-P44*((1+O44)^12-1)/O44)))</f>
        <v/>
      </c>
      <c r="K44" s="36" t="str">
        <f aca="false">IF(Eingaben!$B$17="","",Eingaben!$M$17)</f>
        <v/>
      </c>
      <c r="L44" s="30" t="str">
        <f aca="false">IF(Eingaben!$B$17="","",'Steuer &amp; AfA'!L44)</f>
        <v/>
      </c>
      <c r="M44" s="42" t="str">
        <f aca="false">IF(Eingaben!$B$17="","",E44+L44-I44-K44)</f>
        <v/>
      </c>
      <c r="N44" s="41" t="str">
        <f aca="false">IF(Eingaben!$B$17="","",M44/12)</f>
        <v/>
      </c>
      <c r="O44" s="21" t="str">
        <f aca="false">IF(Eingaben!$B$17="","",Eingaben!$AF$17)</f>
        <v/>
      </c>
      <c r="P44" s="20" t="str">
        <f aca="false">IF(Eingaben!$B$17="","",Eingaben!$AE$17)</f>
        <v/>
      </c>
    </row>
    <row r="45" customFormat="false" ht="15" hidden="false" customHeight="false" outlineLevel="0" collapsed="false">
      <c r="A45" s="28" t="n">
        <v>5</v>
      </c>
      <c r="B45" s="29" t="str">
        <f aca="false">IF(Eingaben!$B$18="","",Eingaben!$B$18)</f>
        <v/>
      </c>
      <c r="C45" s="28" t="n">
        <v>1</v>
      </c>
      <c r="D45" s="31" t="str">
        <f aca="false">IF(Eingaben!$B$18="","",Eingaben!$AB$18)</f>
        <v/>
      </c>
      <c r="E45" s="31" t="str">
        <f aca="false">IF(Eingaben!$B$18="","",Eingaben!$AC$18*12*(1+Eingaben!$K$18)^(1-1))</f>
        <v/>
      </c>
      <c r="F45" s="39" t="str">
        <f aca="false">IF(Eingaben!$B$18="","",E45/12)</f>
        <v/>
      </c>
      <c r="G45" s="31" t="str">
        <f aca="false">IF(Eingaben!$B$18="","",I45-H45)</f>
        <v/>
      </c>
      <c r="H45" s="31" t="str">
        <f aca="false">IF(Eingaben!$B$18="","",D45-J45)</f>
        <v/>
      </c>
      <c r="I45" s="31" t="str">
        <f aca="false">IF(Eingaben!$B$18="","",P45*12)</f>
        <v/>
      </c>
      <c r="J45" s="31" t="str">
        <f aca="false">IF(Eingaben!$B$18="","",IF(O45=0,MAX(0,D45-P45*12),MAX(0,D45*(1+O45)^12-P45*((1+O45)^12-1)/O45)))</f>
        <v/>
      </c>
      <c r="K45" s="31" t="str">
        <f aca="false">IF(Eingaben!$B$18="","",Eingaben!$M$18)</f>
        <v/>
      </c>
      <c r="L45" s="30" t="str">
        <f aca="false">IF(Eingaben!$B$18="","",'Steuer &amp; AfA'!L45)</f>
        <v/>
      </c>
      <c r="M45" s="40" t="str">
        <f aca="false">IF(Eingaben!$B$18="","",E45+L45-I45-K45)</f>
        <v/>
      </c>
      <c r="N45" s="39" t="str">
        <f aca="false">IF(Eingaben!$B$18="","",M45/12)</f>
        <v/>
      </c>
      <c r="O45" s="21" t="str">
        <f aca="false">IF(Eingaben!$B$18="","",Eingaben!$AF$18)</f>
        <v/>
      </c>
      <c r="P45" s="20" t="str">
        <f aca="false">IF(Eingaben!$B$18="","",Eingaben!$AE$18)</f>
        <v/>
      </c>
    </row>
    <row r="46" customFormat="false" ht="15" hidden="false" customHeight="false" outlineLevel="0" collapsed="false">
      <c r="A46" s="28" t="n">
        <v>5</v>
      </c>
      <c r="B46" s="29" t="str">
        <f aca="false">IF(Eingaben!$B$18="","",Eingaben!$B$18)</f>
        <v/>
      </c>
      <c r="C46" s="28" t="n">
        <v>2</v>
      </c>
      <c r="D46" s="31" t="str">
        <f aca="false">IF(Eingaben!$B$18="","",J45)</f>
        <v/>
      </c>
      <c r="E46" s="31" t="str">
        <f aca="false">IF(Eingaben!$B$18="","",Eingaben!$AC$18*12*(1+Eingaben!$K$18)^(2-1))</f>
        <v/>
      </c>
      <c r="F46" s="39" t="str">
        <f aca="false">IF(Eingaben!$B$18="","",E46/12)</f>
        <v/>
      </c>
      <c r="G46" s="31" t="str">
        <f aca="false">IF(Eingaben!$B$18="","",I46-H46)</f>
        <v/>
      </c>
      <c r="H46" s="31" t="str">
        <f aca="false">IF(Eingaben!$B$18="","",D46-J46)</f>
        <v/>
      </c>
      <c r="I46" s="31" t="str">
        <f aca="false">IF(Eingaben!$B$18="","",P46*12)</f>
        <v/>
      </c>
      <c r="J46" s="31" t="str">
        <f aca="false">IF(Eingaben!$B$18="","",IF(O46=0,MAX(0,D46-P46*12),MAX(0,D46*(1+O46)^12-P46*((1+O46)^12-1)/O46)))</f>
        <v/>
      </c>
      <c r="K46" s="31" t="str">
        <f aca="false">IF(Eingaben!$B$18="","",Eingaben!$M$18)</f>
        <v/>
      </c>
      <c r="L46" s="30" t="str">
        <f aca="false">IF(Eingaben!$B$18="","",'Steuer &amp; AfA'!L46)</f>
        <v/>
      </c>
      <c r="M46" s="40" t="str">
        <f aca="false">IF(Eingaben!$B$18="","",E46+L46-I46-K46)</f>
        <v/>
      </c>
      <c r="N46" s="39" t="str">
        <f aca="false">IF(Eingaben!$B$18="","",M46/12)</f>
        <v/>
      </c>
      <c r="O46" s="21" t="str">
        <f aca="false">IF(Eingaben!$B$18="","",Eingaben!$AF$18)</f>
        <v/>
      </c>
      <c r="P46" s="20" t="str">
        <f aca="false">IF(Eingaben!$B$18="","",Eingaben!$AE$18)</f>
        <v/>
      </c>
    </row>
    <row r="47" customFormat="false" ht="15" hidden="false" customHeight="false" outlineLevel="0" collapsed="false">
      <c r="A47" s="28" t="n">
        <v>5</v>
      </c>
      <c r="B47" s="29" t="str">
        <f aca="false">IF(Eingaben!$B$18="","",Eingaben!$B$18)</f>
        <v/>
      </c>
      <c r="C47" s="28" t="n">
        <v>3</v>
      </c>
      <c r="D47" s="31" t="str">
        <f aca="false">IF(Eingaben!$B$18="","",J46)</f>
        <v/>
      </c>
      <c r="E47" s="31" t="str">
        <f aca="false">IF(Eingaben!$B$18="","",Eingaben!$AC$18*12*(1+Eingaben!$K$18)^(3-1))</f>
        <v/>
      </c>
      <c r="F47" s="39" t="str">
        <f aca="false">IF(Eingaben!$B$18="","",E47/12)</f>
        <v/>
      </c>
      <c r="G47" s="31" t="str">
        <f aca="false">IF(Eingaben!$B$18="","",I47-H47)</f>
        <v/>
      </c>
      <c r="H47" s="31" t="str">
        <f aca="false">IF(Eingaben!$B$18="","",D47-J47)</f>
        <v/>
      </c>
      <c r="I47" s="31" t="str">
        <f aca="false">IF(Eingaben!$B$18="","",P47*12)</f>
        <v/>
      </c>
      <c r="J47" s="31" t="str">
        <f aca="false">IF(Eingaben!$B$18="","",IF(O47=0,MAX(0,D47-P47*12),MAX(0,D47*(1+O47)^12-P47*((1+O47)^12-1)/O47)))</f>
        <v/>
      </c>
      <c r="K47" s="31" t="str">
        <f aca="false">IF(Eingaben!$B$18="","",Eingaben!$M$18)</f>
        <v/>
      </c>
      <c r="L47" s="30" t="str">
        <f aca="false">IF(Eingaben!$B$18="","",'Steuer &amp; AfA'!L47)</f>
        <v/>
      </c>
      <c r="M47" s="40" t="str">
        <f aca="false">IF(Eingaben!$B$18="","",E47+L47-I47-K47)</f>
        <v/>
      </c>
      <c r="N47" s="39" t="str">
        <f aca="false">IF(Eingaben!$B$18="","",M47/12)</f>
        <v/>
      </c>
      <c r="O47" s="21" t="str">
        <f aca="false">IF(Eingaben!$B$18="","",Eingaben!$AF$18)</f>
        <v/>
      </c>
      <c r="P47" s="20" t="str">
        <f aca="false">IF(Eingaben!$B$18="","",Eingaben!$AE$18)</f>
        <v/>
      </c>
    </row>
    <row r="48" customFormat="false" ht="15" hidden="false" customHeight="false" outlineLevel="0" collapsed="false">
      <c r="A48" s="28" t="n">
        <v>5</v>
      </c>
      <c r="B48" s="29" t="str">
        <f aca="false">IF(Eingaben!$B$18="","",Eingaben!$B$18)</f>
        <v/>
      </c>
      <c r="C48" s="28" t="n">
        <v>4</v>
      </c>
      <c r="D48" s="31" t="str">
        <f aca="false">IF(Eingaben!$B$18="","",J47)</f>
        <v/>
      </c>
      <c r="E48" s="31" t="str">
        <f aca="false">IF(Eingaben!$B$18="","",Eingaben!$AC$18*12*(1+Eingaben!$K$18)^(4-1))</f>
        <v/>
      </c>
      <c r="F48" s="39" t="str">
        <f aca="false">IF(Eingaben!$B$18="","",E48/12)</f>
        <v/>
      </c>
      <c r="G48" s="31" t="str">
        <f aca="false">IF(Eingaben!$B$18="","",I48-H48)</f>
        <v/>
      </c>
      <c r="H48" s="31" t="str">
        <f aca="false">IF(Eingaben!$B$18="","",D48-J48)</f>
        <v/>
      </c>
      <c r="I48" s="31" t="str">
        <f aca="false">IF(Eingaben!$B$18="","",P48*12)</f>
        <v/>
      </c>
      <c r="J48" s="31" t="str">
        <f aca="false">IF(Eingaben!$B$18="","",IF(O48=0,MAX(0,D48-P48*12),MAX(0,D48*(1+O48)^12-P48*((1+O48)^12-1)/O48)))</f>
        <v/>
      </c>
      <c r="K48" s="31" t="str">
        <f aca="false">IF(Eingaben!$B$18="","",Eingaben!$M$18)</f>
        <v/>
      </c>
      <c r="L48" s="30" t="str">
        <f aca="false">IF(Eingaben!$B$18="","",'Steuer &amp; AfA'!L48)</f>
        <v/>
      </c>
      <c r="M48" s="40" t="str">
        <f aca="false">IF(Eingaben!$B$18="","",E48+L48-I48-K48)</f>
        <v/>
      </c>
      <c r="N48" s="39" t="str">
        <f aca="false">IF(Eingaben!$B$18="","",M48/12)</f>
        <v/>
      </c>
      <c r="O48" s="21" t="str">
        <f aca="false">IF(Eingaben!$B$18="","",Eingaben!$AF$18)</f>
        <v/>
      </c>
      <c r="P48" s="20" t="str">
        <f aca="false">IF(Eingaben!$B$18="","",Eingaben!$AE$18)</f>
        <v/>
      </c>
    </row>
    <row r="49" customFormat="false" ht="15" hidden="false" customHeight="false" outlineLevel="0" collapsed="false">
      <c r="A49" s="28" t="n">
        <v>5</v>
      </c>
      <c r="B49" s="29" t="str">
        <f aca="false">IF(Eingaben!$B$18="","",Eingaben!$B$18)</f>
        <v/>
      </c>
      <c r="C49" s="28" t="n">
        <v>5</v>
      </c>
      <c r="D49" s="31" t="str">
        <f aca="false">IF(Eingaben!$B$18="","",J48)</f>
        <v/>
      </c>
      <c r="E49" s="31" t="str">
        <f aca="false">IF(Eingaben!$B$18="","",Eingaben!$AC$18*12*(1+Eingaben!$K$18)^(5-1))</f>
        <v/>
      </c>
      <c r="F49" s="39" t="str">
        <f aca="false">IF(Eingaben!$B$18="","",E49/12)</f>
        <v/>
      </c>
      <c r="G49" s="31" t="str">
        <f aca="false">IF(Eingaben!$B$18="","",I49-H49)</f>
        <v/>
      </c>
      <c r="H49" s="31" t="str">
        <f aca="false">IF(Eingaben!$B$18="","",D49-J49)</f>
        <v/>
      </c>
      <c r="I49" s="31" t="str">
        <f aca="false">IF(Eingaben!$B$18="","",P49*12)</f>
        <v/>
      </c>
      <c r="J49" s="31" t="str">
        <f aca="false">IF(Eingaben!$B$18="","",IF(O49=0,MAX(0,D49-P49*12),MAX(0,D49*(1+O49)^12-P49*((1+O49)^12-1)/O49)))</f>
        <v/>
      </c>
      <c r="K49" s="31" t="str">
        <f aca="false">IF(Eingaben!$B$18="","",Eingaben!$M$18)</f>
        <v/>
      </c>
      <c r="L49" s="30" t="str">
        <f aca="false">IF(Eingaben!$B$18="","",'Steuer &amp; AfA'!L49)</f>
        <v/>
      </c>
      <c r="M49" s="40" t="str">
        <f aca="false">IF(Eingaben!$B$18="","",E49+L49-I49-K49)</f>
        <v/>
      </c>
      <c r="N49" s="39" t="str">
        <f aca="false">IF(Eingaben!$B$18="","",M49/12)</f>
        <v/>
      </c>
      <c r="O49" s="21" t="str">
        <f aca="false">IF(Eingaben!$B$18="","",Eingaben!$AF$18)</f>
        <v/>
      </c>
      <c r="P49" s="20" t="str">
        <f aca="false">IF(Eingaben!$B$18="","",Eingaben!$AE$18)</f>
        <v/>
      </c>
    </row>
    <row r="50" customFormat="false" ht="15" hidden="false" customHeight="false" outlineLevel="0" collapsed="false">
      <c r="A50" s="28" t="n">
        <v>5</v>
      </c>
      <c r="B50" s="29" t="str">
        <f aca="false">IF(Eingaben!$B$18="","",Eingaben!$B$18)</f>
        <v/>
      </c>
      <c r="C50" s="28" t="n">
        <v>6</v>
      </c>
      <c r="D50" s="31" t="str">
        <f aca="false">IF(Eingaben!$B$18="","",J49)</f>
        <v/>
      </c>
      <c r="E50" s="31" t="str">
        <f aca="false">IF(Eingaben!$B$18="","",Eingaben!$AC$18*12*(1+Eingaben!$K$18)^(6-1))</f>
        <v/>
      </c>
      <c r="F50" s="39" t="str">
        <f aca="false">IF(Eingaben!$B$18="","",E50/12)</f>
        <v/>
      </c>
      <c r="G50" s="31" t="str">
        <f aca="false">IF(Eingaben!$B$18="","",I50-H50)</f>
        <v/>
      </c>
      <c r="H50" s="31" t="str">
        <f aca="false">IF(Eingaben!$B$18="","",D50-J50)</f>
        <v/>
      </c>
      <c r="I50" s="31" t="str">
        <f aca="false">IF(Eingaben!$B$18="","",P50*12)</f>
        <v/>
      </c>
      <c r="J50" s="31" t="str">
        <f aca="false">IF(Eingaben!$B$18="","",IF(O50=0,MAX(0,D50-P50*12),MAX(0,D50*(1+O50)^12-P50*((1+O50)^12-1)/O50)))</f>
        <v/>
      </c>
      <c r="K50" s="31" t="str">
        <f aca="false">IF(Eingaben!$B$18="","",Eingaben!$M$18)</f>
        <v/>
      </c>
      <c r="L50" s="30" t="str">
        <f aca="false">IF(Eingaben!$B$18="","",'Steuer &amp; AfA'!L50)</f>
        <v/>
      </c>
      <c r="M50" s="40" t="str">
        <f aca="false">IF(Eingaben!$B$18="","",E50+L50-I50-K50)</f>
        <v/>
      </c>
      <c r="N50" s="39" t="str">
        <f aca="false">IF(Eingaben!$B$18="","",M50/12)</f>
        <v/>
      </c>
      <c r="O50" s="21" t="str">
        <f aca="false">IF(Eingaben!$B$18="","",Eingaben!$AF$18)</f>
        <v/>
      </c>
      <c r="P50" s="20" t="str">
        <f aca="false">IF(Eingaben!$B$18="","",Eingaben!$AE$18)</f>
        <v/>
      </c>
    </row>
    <row r="51" customFormat="false" ht="15" hidden="false" customHeight="false" outlineLevel="0" collapsed="false">
      <c r="A51" s="28" t="n">
        <v>5</v>
      </c>
      <c r="B51" s="29" t="str">
        <f aca="false">IF(Eingaben!$B$18="","",Eingaben!$B$18)</f>
        <v/>
      </c>
      <c r="C51" s="28" t="n">
        <v>7</v>
      </c>
      <c r="D51" s="31" t="str">
        <f aca="false">IF(Eingaben!$B$18="","",J50)</f>
        <v/>
      </c>
      <c r="E51" s="31" t="str">
        <f aca="false">IF(Eingaben!$B$18="","",Eingaben!$AC$18*12*(1+Eingaben!$K$18)^(7-1))</f>
        <v/>
      </c>
      <c r="F51" s="39" t="str">
        <f aca="false">IF(Eingaben!$B$18="","",E51/12)</f>
        <v/>
      </c>
      <c r="G51" s="31" t="str">
        <f aca="false">IF(Eingaben!$B$18="","",I51-H51)</f>
        <v/>
      </c>
      <c r="H51" s="31" t="str">
        <f aca="false">IF(Eingaben!$B$18="","",D51-J51)</f>
        <v/>
      </c>
      <c r="I51" s="31" t="str">
        <f aca="false">IF(Eingaben!$B$18="","",P51*12)</f>
        <v/>
      </c>
      <c r="J51" s="31" t="str">
        <f aca="false">IF(Eingaben!$B$18="","",IF(O51=0,MAX(0,D51-P51*12),MAX(0,D51*(1+O51)^12-P51*((1+O51)^12-1)/O51)))</f>
        <v/>
      </c>
      <c r="K51" s="31" t="str">
        <f aca="false">IF(Eingaben!$B$18="","",Eingaben!$M$18)</f>
        <v/>
      </c>
      <c r="L51" s="30" t="str">
        <f aca="false">IF(Eingaben!$B$18="","",'Steuer &amp; AfA'!L51)</f>
        <v/>
      </c>
      <c r="M51" s="40" t="str">
        <f aca="false">IF(Eingaben!$B$18="","",E51+L51-I51-K51)</f>
        <v/>
      </c>
      <c r="N51" s="39" t="str">
        <f aca="false">IF(Eingaben!$B$18="","",M51/12)</f>
        <v/>
      </c>
      <c r="O51" s="21" t="str">
        <f aca="false">IF(Eingaben!$B$18="","",Eingaben!$AF$18)</f>
        <v/>
      </c>
      <c r="P51" s="20" t="str">
        <f aca="false">IF(Eingaben!$B$18="","",Eingaben!$AE$18)</f>
        <v/>
      </c>
    </row>
    <row r="52" customFormat="false" ht="15" hidden="false" customHeight="false" outlineLevel="0" collapsed="false">
      <c r="A52" s="28" t="n">
        <v>5</v>
      </c>
      <c r="B52" s="29" t="str">
        <f aca="false">IF(Eingaben!$B$18="","",Eingaben!$B$18)</f>
        <v/>
      </c>
      <c r="C52" s="28" t="n">
        <v>8</v>
      </c>
      <c r="D52" s="31" t="str">
        <f aca="false">IF(Eingaben!$B$18="","",J51)</f>
        <v/>
      </c>
      <c r="E52" s="31" t="str">
        <f aca="false">IF(Eingaben!$B$18="","",Eingaben!$AC$18*12*(1+Eingaben!$K$18)^(8-1))</f>
        <v/>
      </c>
      <c r="F52" s="39" t="str">
        <f aca="false">IF(Eingaben!$B$18="","",E52/12)</f>
        <v/>
      </c>
      <c r="G52" s="31" t="str">
        <f aca="false">IF(Eingaben!$B$18="","",I52-H52)</f>
        <v/>
      </c>
      <c r="H52" s="31" t="str">
        <f aca="false">IF(Eingaben!$B$18="","",D52-J52)</f>
        <v/>
      </c>
      <c r="I52" s="31" t="str">
        <f aca="false">IF(Eingaben!$B$18="","",P52*12)</f>
        <v/>
      </c>
      <c r="J52" s="31" t="str">
        <f aca="false">IF(Eingaben!$B$18="","",IF(O52=0,MAX(0,D52-P52*12),MAX(0,D52*(1+O52)^12-P52*((1+O52)^12-1)/O52)))</f>
        <v/>
      </c>
      <c r="K52" s="31" t="str">
        <f aca="false">IF(Eingaben!$B$18="","",Eingaben!$M$18)</f>
        <v/>
      </c>
      <c r="L52" s="30" t="str">
        <f aca="false">IF(Eingaben!$B$18="","",'Steuer &amp; AfA'!L52)</f>
        <v/>
      </c>
      <c r="M52" s="40" t="str">
        <f aca="false">IF(Eingaben!$B$18="","",E52+L52-I52-K52)</f>
        <v/>
      </c>
      <c r="N52" s="39" t="str">
        <f aca="false">IF(Eingaben!$B$18="","",M52/12)</f>
        <v/>
      </c>
      <c r="O52" s="21" t="str">
        <f aca="false">IF(Eingaben!$B$18="","",Eingaben!$AF$18)</f>
        <v/>
      </c>
      <c r="P52" s="20" t="str">
        <f aca="false">IF(Eingaben!$B$18="","",Eingaben!$AE$18)</f>
        <v/>
      </c>
    </row>
    <row r="53" customFormat="false" ht="15" hidden="false" customHeight="false" outlineLevel="0" collapsed="false">
      <c r="A53" s="28" t="n">
        <v>5</v>
      </c>
      <c r="B53" s="29" t="str">
        <f aca="false">IF(Eingaben!$B$18="","",Eingaben!$B$18)</f>
        <v/>
      </c>
      <c r="C53" s="28" t="n">
        <v>9</v>
      </c>
      <c r="D53" s="31" t="str">
        <f aca="false">IF(Eingaben!$B$18="","",J52)</f>
        <v/>
      </c>
      <c r="E53" s="31" t="str">
        <f aca="false">IF(Eingaben!$B$18="","",Eingaben!$AC$18*12*(1+Eingaben!$K$18)^(9-1))</f>
        <v/>
      </c>
      <c r="F53" s="39" t="str">
        <f aca="false">IF(Eingaben!$B$18="","",E53/12)</f>
        <v/>
      </c>
      <c r="G53" s="31" t="str">
        <f aca="false">IF(Eingaben!$B$18="","",I53-H53)</f>
        <v/>
      </c>
      <c r="H53" s="31" t="str">
        <f aca="false">IF(Eingaben!$B$18="","",D53-J53)</f>
        <v/>
      </c>
      <c r="I53" s="31" t="str">
        <f aca="false">IF(Eingaben!$B$18="","",P53*12)</f>
        <v/>
      </c>
      <c r="J53" s="31" t="str">
        <f aca="false">IF(Eingaben!$B$18="","",IF(O53=0,MAX(0,D53-P53*12),MAX(0,D53*(1+O53)^12-P53*((1+O53)^12-1)/O53)))</f>
        <v/>
      </c>
      <c r="K53" s="31" t="str">
        <f aca="false">IF(Eingaben!$B$18="","",Eingaben!$M$18)</f>
        <v/>
      </c>
      <c r="L53" s="30" t="str">
        <f aca="false">IF(Eingaben!$B$18="","",'Steuer &amp; AfA'!L53)</f>
        <v/>
      </c>
      <c r="M53" s="40" t="str">
        <f aca="false">IF(Eingaben!$B$18="","",E53+L53-I53-K53)</f>
        <v/>
      </c>
      <c r="N53" s="39" t="str">
        <f aca="false">IF(Eingaben!$B$18="","",M53/12)</f>
        <v/>
      </c>
      <c r="O53" s="21" t="str">
        <f aca="false">IF(Eingaben!$B$18="","",Eingaben!$AF$18)</f>
        <v/>
      </c>
      <c r="P53" s="20" t="str">
        <f aca="false">IF(Eingaben!$B$18="","",Eingaben!$AE$18)</f>
        <v/>
      </c>
    </row>
    <row r="54" customFormat="false" ht="15" hidden="false" customHeight="false" outlineLevel="0" collapsed="false">
      <c r="A54" s="28" t="n">
        <v>5</v>
      </c>
      <c r="B54" s="29" t="str">
        <f aca="false">IF(Eingaben!$B$18="","",Eingaben!$B$18)</f>
        <v/>
      </c>
      <c r="C54" s="28" t="n">
        <v>10</v>
      </c>
      <c r="D54" s="31" t="str">
        <f aca="false">IF(Eingaben!$B$18="","",J53)</f>
        <v/>
      </c>
      <c r="E54" s="31" t="str">
        <f aca="false">IF(Eingaben!$B$18="","",Eingaben!$AC$18*12*(1+Eingaben!$K$18)^(10-1))</f>
        <v/>
      </c>
      <c r="F54" s="39" t="str">
        <f aca="false">IF(Eingaben!$B$18="","",E54/12)</f>
        <v/>
      </c>
      <c r="G54" s="31" t="str">
        <f aca="false">IF(Eingaben!$B$18="","",I54-H54)</f>
        <v/>
      </c>
      <c r="H54" s="31" t="str">
        <f aca="false">IF(Eingaben!$B$18="","",D54-J54)</f>
        <v/>
      </c>
      <c r="I54" s="31" t="str">
        <f aca="false">IF(Eingaben!$B$18="","",P54*12)</f>
        <v/>
      </c>
      <c r="J54" s="31" t="str">
        <f aca="false">IF(Eingaben!$B$18="","",IF(O54=0,MAX(0,D54-P54*12),MAX(0,D54*(1+O54)^12-P54*((1+O54)^12-1)/O54)))</f>
        <v/>
      </c>
      <c r="K54" s="31" t="str">
        <f aca="false">IF(Eingaben!$B$18="","",Eingaben!$M$18)</f>
        <v/>
      </c>
      <c r="L54" s="30" t="str">
        <f aca="false">IF(Eingaben!$B$18="","",'Steuer &amp; AfA'!L54)</f>
        <v/>
      </c>
      <c r="M54" s="40" t="str">
        <f aca="false">IF(Eingaben!$B$18="","",E54+L54-I54-K54)</f>
        <v/>
      </c>
      <c r="N54" s="39" t="str">
        <f aca="false">IF(Eingaben!$B$18="","",M54/12)</f>
        <v/>
      </c>
      <c r="O54" s="21" t="str">
        <f aca="false">IF(Eingaben!$B$18="","",Eingaben!$AF$18)</f>
        <v/>
      </c>
      <c r="P54" s="20" t="str">
        <f aca="false">IF(Eingaben!$B$18="","",Eingaben!$AE$18)</f>
        <v/>
      </c>
    </row>
    <row r="55" customFormat="false" ht="15" hidden="false" customHeight="false" outlineLevel="0" collapsed="false">
      <c r="A55" s="35" t="n">
        <v>6</v>
      </c>
      <c r="B55" s="29" t="str">
        <f aca="false">IF(Eingaben!$B$19="","",Eingaben!$B$19)</f>
        <v/>
      </c>
      <c r="C55" s="35" t="n">
        <v>1</v>
      </c>
      <c r="D55" s="36" t="str">
        <f aca="false">IF(Eingaben!$B$19="","",Eingaben!$AB$19)</f>
        <v/>
      </c>
      <c r="E55" s="36" t="str">
        <f aca="false">IF(Eingaben!$B$19="","",Eingaben!$AC$19*12*(1+Eingaben!$K$19)^(1-1))</f>
        <v/>
      </c>
      <c r="F55" s="41" t="str">
        <f aca="false">IF(Eingaben!$B$19="","",E55/12)</f>
        <v/>
      </c>
      <c r="G55" s="36" t="str">
        <f aca="false">IF(Eingaben!$B$19="","",I55-H55)</f>
        <v/>
      </c>
      <c r="H55" s="36" t="str">
        <f aca="false">IF(Eingaben!$B$19="","",D55-J55)</f>
        <v/>
      </c>
      <c r="I55" s="36" t="str">
        <f aca="false">IF(Eingaben!$B$19="","",P55*12)</f>
        <v/>
      </c>
      <c r="J55" s="36" t="str">
        <f aca="false">IF(Eingaben!$B$19="","",IF(O55=0,MAX(0,D55-P55*12),MAX(0,D55*(1+O55)^12-P55*((1+O55)^12-1)/O55)))</f>
        <v/>
      </c>
      <c r="K55" s="36" t="str">
        <f aca="false">IF(Eingaben!$B$19="","",Eingaben!$M$19)</f>
        <v/>
      </c>
      <c r="L55" s="30" t="str">
        <f aca="false">IF(Eingaben!$B$19="","",'Steuer &amp; AfA'!L55)</f>
        <v/>
      </c>
      <c r="M55" s="42" t="str">
        <f aca="false">IF(Eingaben!$B$19="","",E55+L55-I55-K55)</f>
        <v/>
      </c>
      <c r="N55" s="41" t="str">
        <f aca="false">IF(Eingaben!$B$19="","",M55/12)</f>
        <v/>
      </c>
      <c r="O55" s="21" t="str">
        <f aca="false">IF(Eingaben!$B$19="","",Eingaben!$AF$19)</f>
        <v/>
      </c>
      <c r="P55" s="20" t="str">
        <f aca="false">IF(Eingaben!$B$19="","",Eingaben!$AE$19)</f>
        <v/>
      </c>
    </row>
    <row r="56" customFormat="false" ht="15" hidden="false" customHeight="false" outlineLevel="0" collapsed="false">
      <c r="A56" s="35" t="n">
        <v>6</v>
      </c>
      <c r="B56" s="29" t="str">
        <f aca="false">IF(Eingaben!$B$19="","",Eingaben!$B$19)</f>
        <v/>
      </c>
      <c r="C56" s="35" t="n">
        <v>2</v>
      </c>
      <c r="D56" s="36" t="str">
        <f aca="false">IF(Eingaben!$B$19="","",J55)</f>
        <v/>
      </c>
      <c r="E56" s="36" t="str">
        <f aca="false">IF(Eingaben!$B$19="","",Eingaben!$AC$19*12*(1+Eingaben!$K$19)^(2-1))</f>
        <v/>
      </c>
      <c r="F56" s="41" t="str">
        <f aca="false">IF(Eingaben!$B$19="","",E56/12)</f>
        <v/>
      </c>
      <c r="G56" s="36" t="str">
        <f aca="false">IF(Eingaben!$B$19="","",I56-H56)</f>
        <v/>
      </c>
      <c r="H56" s="36" t="str">
        <f aca="false">IF(Eingaben!$B$19="","",D56-J56)</f>
        <v/>
      </c>
      <c r="I56" s="36" t="str">
        <f aca="false">IF(Eingaben!$B$19="","",P56*12)</f>
        <v/>
      </c>
      <c r="J56" s="36" t="str">
        <f aca="false">IF(Eingaben!$B$19="","",IF(O56=0,MAX(0,D56-P56*12),MAX(0,D56*(1+O56)^12-P56*((1+O56)^12-1)/O56)))</f>
        <v/>
      </c>
      <c r="K56" s="36" t="str">
        <f aca="false">IF(Eingaben!$B$19="","",Eingaben!$M$19)</f>
        <v/>
      </c>
      <c r="L56" s="30" t="str">
        <f aca="false">IF(Eingaben!$B$19="","",'Steuer &amp; AfA'!L56)</f>
        <v/>
      </c>
      <c r="M56" s="42" t="str">
        <f aca="false">IF(Eingaben!$B$19="","",E56+L56-I56-K56)</f>
        <v/>
      </c>
      <c r="N56" s="41" t="str">
        <f aca="false">IF(Eingaben!$B$19="","",M56/12)</f>
        <v/>
      </c>
      <c r="O56" s="21" t="str">
        <f aca="false">IF(Eingaben!$B$19="","",Eingaben!$AF$19)</f>
        <v/>
      </c>
      <c r="P56" s="20" t="str">
        <f aca="false">IF(Eingaben!$B$19="","",Eingaben!$AE$19)</f>
        <v/>
      </c>
    </row>
    <row r="57" customFormat="false" ht="15" hidden="false" customHeight="false" outlineLevel="0" collapsed="false">
      <c r="A57" s="35" t="n">
        <v>6</v>
      </c>
      <c r="B57" s="29" t="str">
        <f aca="false">IF(Eingaben!$B$19="","",Eingaben!$B$19)</f>
        <v/>
      </c>
      <c r="C57" s="35" t="n">
        <v>3</v>
      </c>
      <c r="D57" s="36" t="str">
        <f aca="false">IF(Eingaben!$B$19="","",J56)</f>
        <v/>
      </c>
      <c r="E57" s="36" t="str">
        <f aca="false">IF(Eingaben!$B$19="","",Eingaben!$AC$19*12*(1+Eingaben!$K$19)^(3-1))</f>
        <v/>
      </c>
      <c r="F57" s="41" t="str">
        <f aca="false">IF(Eingaben!$B$19="","",E57/12)</f>
        <v/>
      </c>
      <c r="G57" s="36" t="str">
        <f aca="false">IF(Eingaben!$B$19="","",I57-H57)</f>
        <v/>
      </c>
      <c r="H57" s="36" t="str">
        <f aca="false">IF(Eingaben!$B$19="","",D57-J57)</f>
        <v/>
      </c>
      <c r="I57" s="36" t="str">
        <f aca="false">IF(Eingaben!$B$19="","",P57*12)</f>
        <v/>
      </c>
      <c r="J57" s="36" t="str">
        <f aca="false">IF(Eingaben!$B$19="","",IF(O57=0,MAX(0,D57-P57*12),MAX(0,D57*(1+O57)^12-P57*((1+O57)^12-1)/O57)))</f>
        <v/>
      </c>
      <c r="K57" s="36" t="str">
        <f aca="false">IF(Eingaben!$B$19="","",Eingaben!$M$19)</f>
        <v/>
      </c>
      <c r="L57" s="30" t="str">
        <f aca="false">IF(Eingaben!$B$19="","",'Steuer &amp; AfA'!L57)</f>
        <v/>
      </c>
      <c r="M57" s="42" t="str">
        <f aca="false">IF(Eingaben!$B$19="","",E57+L57-I57-K57)</f>
        <v/>
      </c>
      <c r="N57" s="41" t="str">
        <f aca="false">IF(Eingaben!$B$19="","",M57/12)</f>
        <v/>
      </c>
      <c r="O57" s="21" t="str">
        <f aca="false">IF(Eingaben!$B$19="","",Eingaben!$AF$19)</f>
        <v/>
      </c>
      <c r="P57" s="20" t="str">
        <f aca="false">IF(Eingaben!$B$19="","",Eingaben!$AE$19)</f>
        <v/>
      </c>
    </row>
    <row r="58" customFormat="false" ht="15" hidden="false" customHeight="false" outlineLevel="0" collapsed="false">
      <c r="A58" s="35" t="n">
        <v>6</v>
      </c>
      <c r="B58" s="29" t="str">
        <f aca="false">IF(Eingaben!$B$19="","",Eingaben!$B$19)</f>
        <v/>
      </c>
      <c r="C58" s="35" t="n">
        <v>4</v>
      </c>
      <c r="D58" s="36" t="str">
        <f aca="false">IF(Eingaben!$B$19="","",J57)</f>
        <v/>
      </c>
      <c r="E58" s="36" t="str">
        <f aca="false">IF(Eingaben!$B$19="","",Eingaben!$AC$19*12*(1+Eingaben!$K$19)^(4-1))</f>
        <v/>
      </c>
      <c r="F58" s="41" t="str">
        <f aca="false">IF(Eingaben!$B$19="","",E58/12)</f>
        <v/>
      </c>
      <c r="G58" s="36" t="str">
        <f aca="false">IF(Eingaben!$B$19="","",I58-H58)</f>
        <v/>
      </c>
      <c r="H58" s="36" t="str">
        <f aca="false">IF(Eingaben!$B$19="","",D58-J58)</f>
        <v/>
      </c>
      <c r="I58" s="36" t="str">
        <f aca="false">IF(Eingaben!$B$19="","",P58*12)</f>
        <v/>
      </c>
      <c r="J58" s="36" t="str">
        <f aca="false">IF(Eingaben!$B$19="","",IF(O58=0,MAX(0,D58-P58*12),MAX(0,D58*(1+O58)^12-P58*((1+O58)^12-1)/O58)))</f>
        <v/>
      </c>
      <c r="K58" s="36" t="str">
        <f aca="false">IF(Eingaben!$B$19="","",Eingaben!$M$19)</f>
        <v/>
      </c>
      <c r="L58" s="30" t="str">
        <f aca="false">IF(Eingaben!$B$19="","",'Steuer &amp; AfA'!L58)</f>
        <v/>
      </c>
      <c r="M58" s="42" t="str">
        <f aca="false">IF(Eingaben!$B$19="","",E58+L58-I58-K58)</f>
        <v/>
      </c>
      <c r="N58" s="41" t="str">
        <f aca="false">IF(Eingaben!$B$19="","",M58/12)</f>
        <v/>
      </c>
      <c r="O58" s="21" t="str">
        <f aca="false">IF(Eingaben!$B$19="","",Eingaben!$AF$19)</f>
        <v/>
      </c>
      <c r="P58" s="20" t="str">
        <f aca="false">IF(Eingaben!$B$19="","",Eingaben!$AE$19)</f>
        <v/>
      </c>
    </row>
    <row r="59" customFormat="false" ht="15" hidden="false" customHeight="false" outlineLevel="0" collapsed="false">
      <c r="A59" s="35" t="n">
        <v>6</v>
      </c>
      <c r="B59" s="29" t="str">
        <f aca="false">IF(Eingaben!$B$19="","",Eingaben!$B$19)</f>
        <v/>
      </c>
      <c r="C59" s="35" t="n">
        <v>5</v>
      </c>
      <c r="D59" s="36" t="str">
        <f aca="false">IF(Eingaben!$B$19="","",J58)</f>
        <v/>
      </c>
      <c r="E59" s="36" t="str">
        <f aca="false">IF(Eingaben!$B$19="","",Eingaben!$AC$19*12*(1+Eingaben!$K$19)^(5-1))</f>
        <v/>
      </c>
      <c r="F59" s="41" t="str">
        <f aca="false">IF(Eingaben!$B$19="","",E59/12)</f>
        <v/>
      </c>
      <c r="G59" s="36" t="str">
        <f aca="false">IF(Eingaben!$B$19="","",I59-H59)</f>
        <v/>
      </c>
      <c r="H59" s="36" t="str">
        <f aca="false">IF(Eingaben!$B$19="","",D59-J59)</f>
        <v/>
      </c>
      <c r="I59" s="36" t="str">
        <f aca="false">IF(Eingaben!$B$19="","",P59*12)</f>
        <v/>
      </c>
      <c r="J59" s="36" t="str">
        <f aca="false">IF(Eingaben!$B$19="","",IF(O59=0,MAX(0,D59-P59*12),MAX(0,D59*(1+O59)^12-P59*((1+O59)^12-1)/O59)))</f>
        <v/>
      </c>
      <c r="K59" s="36" t="str">
        <f aca="false">IF(Eingaben!$B$19="","",Eingaben!$M$19)</f>
        <v/>
      </c>
      <c r="L59" s="30" t="str">
        <f aca="false">IF(Eingaben!$B$19="","",'Steuer &amp; AfA'!L59)</f>
        <v/>
      </c>
      <c r="M59" s="42" t="str">
        <f aca="false">IF(Eingaben!$B$19="","",E59+L59-I59-K59)</f>
        <v/>
      </c>
      <c r="N59" s="41" t="str">
        <f aca="false">IF(Eingaben!$B$19="","",M59/12)</f>
        <v/>
      </c>
      <c r="O59" s="21" t="str">
        <f aca="false">IF(Eingaben!$B$19="","",Eingaben!$AF$19)</f>
        <v/>
      </c>
      <c r="P59" s="20" t="str">
        <f aca="false">IF(Eingaben!$B$19="","",Eingaben!$AE$19)</f>
        <v/>
      </c>
    </row>
    <row r="60" customFormat="false" ht="15" hidden="false" customHeight="false" outlineLevel="0" collapsed="false">
      <c r="A60" s="35" t="n">
        <v>6</v>
      </c>
      <c r="B60" s="29" t="str">
        <f aca="false">IF(Eingaben!$B$19="","",Eingaben!$B$19)</f>
        <v/>
      </c>
      <c r="C60" s="35" t="n">
        <v>6</v>
      </c>
      <c r="D60" s="36" t="str">
        <f aca="false">IF(Eingaben!$B$19="","",J59)</f>
        <v/>
      </c>
      <c r="E60" s="36" t="str">
        <f aca="false">IF(Eingaben!$B$19="","",Eingaben!$AC$19*12*(1+Eingaben!$K$19)^(6-1))</f>
        <v/>
      </c>
      <c r="F60" s="41" t="str">
        <f aca="false">IF(Eingaben!$B$19="","",E60/12)</f>
        <v/>
      </c>
      <c r="G60" s="36" t="str">
        <f aca="false">IF(Eingaben!$B$19="","",I60-H60)</f>
        <v/>
      </c>
      <c r="H60" s="36" t="str">
        <f aca="false">IF(Eingaben!$B$19="","",D60-J60)</f>
        <v/>
      </c>
      <c r="I60" s="36" t="str">
        <f aca="false">IF(Eingaben!$B$19="","",P60*12)</f>
        <v/>
      </c>
      <c r="J60" s="36" t="str">
        <f aca="false">IF(Eingaben!$B$19="","",IF(O60=0,MAX(0,D60-P60*12),MAX(0,D60*(1+O60)^12-P60*((1+O60)^12-1)/O60)))</f>
        <v/>
      </c>
      <c r="K60" s="36" t="str">
        <f aca="false">IF(Eingaben!$B$19="","",Eingaben!$M$19)</f>
        <v/>
      </c>
      <c r="L60" s="30" t="str">
        <f aca="false">IF(Eingaben!$B$19="","",'Steuer &amp; AfA'!L60)</f>
        <v/>
      </c>
      <c r="M60" s="42" t="str">
        <f aca="false">IF(Eingaben!$B$19="","",E60+L60-I60-K60)</f>
        <v/>
      </c>
      <c r="N60" s="41" t="str">
        <f aca="false">IF(Eingaben!$B$19="","",M60/12)</f>
        <v/>
      </c>
      <c r="O60" s="21" t="str">
        <f aca="false">IF(Eingaben!$B$19="","",Eingaben!$AF$19)</f>
        <v/>
      </c>
      <c r="P60" s="20" t="str">
        <f aca="false">IF(Eingaben!$B$19="","",Eingaben!$AE$19)</f>
        <v/>
      </c>
    </row>
    <row r="61" customFormat="false" ht="15" hidden="false" customHeight="false" outlineLevel="0" collapsed="false">
      <c r="A61" s="35" t="n">
        <v>6</v>
      </c>
      <c r="B61" s="29" t="str">
        <f aca="false">IF(Eingaben!$B$19="","",Eingaben!$B$19)</f>
        <v/>
      </c>
      <c r="C61" s="35" t="n">
        <v>7</v>
      </c>
      <c r="D61" s="36" t="str">
        <f aca="false">IF(Eingaben!$B$19="","",J60)</f>
        <v/>
      </c>
      <c r="E61" s="36" t="str">
        <f aca="false">IF(Eingaben!$B$19="","",Eingaben!$AC$19*12*(1+Eingaben!$K$19)^(7-1))</f>
        <v/>
      </c>
      <c r="F61" s="41" t="str">
        <f aca="false">IF(Eingaben!$B$19="","",E61/12)</f>
        <v/>
      </c>
      <c r="G61" s="36" t="str">
        <f aca="false">IF(Eingaben!$B$19="","",I61-H61)</f>
        <v/>
      </c>
      <c r="H61" s="36" t="str">
        <f aca="false">IF(Eingaben!$B$19="","",D61-J61)</f>
        <v/>
      </c>
      <c r="I61" s="36" t="str">
        <f aca="false">IF(Eingaben!$B$19="","",P61*12)</f>
        <v/>
      </c>
      <c r="J61" s="36" t="str">
        <f aca="false">IF(Eingaben!$B$19="","",IF(O61=0,MAX(0,D61-P61*12),MAX(0,D61*(1+O61)^12-P61*((1+O61)^12-1)/O61)))</f>
        <v/>
      </c>
      <c r="K61" s="36" t="str">
        <f aca="false">IF(Eingaben!$B$19="","",Eingaben!$M$19)</f>
        <v/>
      </c>
      <c r="L61" s="30" t="str">
        <f aca="false">IF(Eingaben!$B$19="","",'Steuer &amp; AfA'!L61)</f>
        <v/>
      </c>
      <c r="M61" s="42" t="str">
        <f aca="false">IF(Eingaben!$B$19="","",E61+L61-I61-K61)</f>
        <v/>
      </c>
      <c r="N61" s="41" t="str">
        <f aca="false">IF(Eingaben!$B$19="","",M61/12)</f>
        <v/>
      </c>
      <c r="O61" s="21" t="str">
        <f aca="false">IF(Eingaben!$B$19="","",Eingaben!$AF$19)</f>
        <v/>
      </c>
      <c r="P61" s="20" t="str">
        <f aca="false">IF(Eingaben!$B$19="","",Eingaben!$AE$19)</f>
        <v/>
      </c>
    </row>
    <row r="62" customFormat="false" ht="15" hidden="false" customHeight="false" outlineLevel="0" collapsed="false">
      <c r="A62" s="35" t="n">
        <v>6</v>
      </c>
      <c r="B62" s="29" t="str">
        <f aca="false">IF(Eingaben!$B$19="","",Eingaben!$B$19)</f>
        <v/>
      </c>
      <c r="C62" s="35" t="n">
        <v>8</v>
      </c>
      <c r="D62" s="36" t="str">
        <f aca="false">IF(Eingaben!$B$19="","",J61)</f>
        <v/>
      </c>
      <c r="E62" s="36" t="str">
        <f aca="false">IF(Eingaben!$B$19="","",Eingaben!$AC$19*12*(1+Eingaben!$K$19)^(8-1))</f>
        <v/>
      </c>
      <c r="F62" s="41" t="str">
        <f aca="false">IF(Eingaben!$B$19="","",E62/12)</f>
        <v/>
      </c>
      <c r="G62" s="36" t="str">
        <f aca="false">IF(Eingaben!$B$19="","",I62-H62)</f>
        <v/>
      </c>
      <c r="H62" s="36" t="str">
        <f aca="false">IF(Eingaben!$B$19="","",D62-J62)</f>
        <v/>
      </c>
      <c r="I62" s="36" t="str">
        <f aca="false">IF(Eingaben!$B$19="","",P62*12)</f>
        <v/>
      </c>
      <c r="J62" s="36" t="str">
        <f aca="false">IF(Eingaben!$B$19="","",IF(O62=0,MAX(0,D62-P62*12),MAX(0,D62*(1+O62)^12-P62*((1+O62)^12-1)/O62)))</f>
        <v/>
      </c>
      <c r="K62" s="36" t="str">
        <f aca="false">IF(Eingaben!$B$19="","",Eingaben!$M$19)</f>
        <v/>
      </c>
      <c r="L62" s="30" t="str">
        <f aca="false">IF(Eingaben!$B$19="","",'Steuer &amp; AfA'!L62)</f>
        <v/>
      </c>
      <c r="M62" s="42" t="str">
        <f aca="false">IF(Eingaben!$B$19="","",E62+L62-I62-K62)</f>
        <v/>
      </c>
      <c r="N62" s="41" t="str">
        <f aca="false">IF(Eingaben!$B$19="","",M62/12)</f>
        <v/>
      </c>
      <c r="O62" s="21" t="str">
        <f aca="false">IF(Eingaben!$B$19="","",Eingaben!$AF$19)</f>
        <v/>
      </c>
      <c r="P62" s="20" t="str">
        <f aca="false">IF(Eingaben!$B$19="","",Eingaben!$AE$19)</f>
        <v/>
      </c>
    </row>
    <row r="63" customFormat="false" ht="15" hidden="false" customHeight="false" outlineLevel="0" collapsed="false">
      <c r="A63" s="35" t="n">
        <v>6</v>
      </c>
      <c r="B63" s="29" t="str">
        <f aca="false">IF(Eingaben!$B$19="","",Eingaben!$B$19)</f>
        <v/>
      </c>
      <c r="C63" s="35" t="n">
        <v>9</v>
      </c>
      <c r="D63" s="36" t="str">
        <f aca="false">IF(Eingaben!$B$19="","",J62)</f>
        <v/>
      </c>
      <c r="E63" s="36" t="str">
        <f aca="false">IF(Eingaben!$B$19="","",Eingaben!$AC$19*12*(1+Eingaben!$K$19)^(9-1))</f>
        <v/>
      </c>
      <c r="F63" s="41" t="str">
        <f aca="false">IF(Eingaben!$B$19="","",E63/12)</f>
        <v/>
      </c>
      <c r="G63" s="36" t="str">
        <f aca="false">IF(Eingaben!$B$19="","",I63-H63)</f>
        <v/>
      </c>
      <c r="H63" s="36" t="str">
        <f aca="false">IF(Eingaben!$B$19="","",D63-J63)</f>
        <v/>
      </c>
      <c r="I63" s="36" t="str">
        <f aca="false">IF(Eingaben!$B$19="","",P63*12)</f>
        <v/>
      </c>
      <c r="J63" s="36" t="str">
        <f aca="false">IF(Eingaben!$B$19="","",IF(O63=0,MAX(0,D63-P63*12),MAX(0,D63*(1+O63)^12-P63*((1+O63)^12-1)/O63)))</f>
        <v/>
      </c>
      <c r="K63" s="36" t="str">
        <f aca="false">IF(Eingaben!$B$19="","",Eingaben!$M$19)</f>
        <v/>
      </c>
      <c r="L63" s="30" t="str">
        <f aca="false">IF(Eingaben!$B$19="","",'Steuer &amp; AfA'!L63)</f>
        <v/>
      </c>
      <c r="M63" s="42" t="str">
        <f aca="false">IF(Eingaben!$B$19="","",E63+L63-I63-K63)</f>
        <v/>
      </c>
      <c r="N63" s="41" t="str">
        <f aca="false">IF(Eingaben!$B$19="","",M63/12)</f>
        <v/>
      </c>
      <c r="O63" s="21" t="str">
        <f aca="false">IF(Eingaben!$B$19="","",Eingaben!$AF$19)</f>
        <v/>
      </c>
      <c r="P63" s="20" t="str">
        <f aca="false">IF(Eingaben!$B$19="","",Eingaben!$AE$19)</f>
        <v/>
      </c>
    </row>
    <row r="64" customFormat="false" ht="15" hidden="false" customHeight="false" outlineLevel="0" collapsed="false">
      <c r="A64" s="35" t="n">
        <v>6</v>
      </c>
      <c r="B64" s="29" t="str">
        <f aca="false">IF(Eingaben!$B$19="","",Eingaben!$B$19)</f>
        <v/>
      </c>
      <c r="C64" s="35" t="n">
        <v>10</v>
      </c>
      <c r="D64" s="36" t="str">
        <f aca="false">IF(Eingaben!$B$19="","",J63)</f>
        <v/>
      </c>
      <c r="E64" s="36" t="str">
        <f aca="false">IF(Eingaben!$B$19="","",Eingaben!$AC$19*12*(1+Eingaben!$K$19)^(10-1))</f>
        <v/>
      </c>
      <c r="F64" s="41" t="str">
        <f aca="false">IF(Eingaben!$B$19="","",E64/12)</f>
        <v/>
      </c>
      <c r="G64" s="36" t="str">
        <f aca="false">IF(Eingaben!$B$19="","",I64-H64)</f>
        <v/>
      </c>
      <c r="H64" s="36" t="str">
        <f aca="false">IF(Eingaben!$B$19="","",D64-J64)</f>
        <v/>
      </c>
      <c r="I64" s="36" t="str">
        <f aca="false">IF(Eingaben!$B$19="","",P64*12)</f>
        <v/>
      </c>
      <c r="J64" s="36" t="str">
        <f aca="false">IF(Eingaben!$B$19="","",IF(O64=0,MAX(0,D64-P64*12),MAX(0,D64*(1+O64)^12-P64*((1+O64)^12-1)/O64)))</f>
        <v/>
      </c>
      <c r="K64" s="36" t="str">
        <f aca="false">IF(Eingaben!$B$19="","",Eingaben!$M$19)</f>
        <v/>
      </c>
      <c r="L64" s="30" t="str">
        <f aca="false">IF(Eingaben!$B$19="","",'Steuer &amp; AfA'!L64)</f>
        <v/>
      </c>
      <c r="M64" s="42" t="str">
        <f aca="false">IF(Eingaben!$B$19="","",E64+L64-I64-K64)</f>
        <v/>
      </c>
      <c r="N64" s="41" t="str">
        <f aca="false">IF(Eingaben!$B$19="","",M64/12)</f>
        <v/>
      </c>
      <c r="O64" s="21" t="str">
        <f aca="false">IF(Eingaben!$B$19="","",Eingaben!$AF$19)</f>
        <v/>
      </c>
      <c r="P64" s="20" t="str">
        <f aca="false">IF(Eingaben!$B$19="","",Eingaben!$AE$19)</f>
        <v/>
      </c>
    </row>
    <row r="65" customFormat="false" ht="15" hidden="false" customHeight="false" outlineLevel="0" collapsed="false">
      <c r="A65" s="28" t="n">
        <v>7</v>
      </c>
      <c r="B65" s="29" t="str">
        <f aca="false">IF(Eingaben!$B$20="","",Eingaben!$B$20)</f>
        <v/>
      </c>
      <c r="C65" s="28" t="n">
        <v>1</v>
      </c>
      <c r="D65" s="31" t="str">
        <f aca="false">IF(Eingaben!$B$20="","",Eingaben!$AB$20)</f>
        <v/>
      </c>
      <c r="E65" s="31" t="str">
        <f aca="false">IF(Eingaben!$B$20="","",Eingaben!$AC$20*12*(1+Eingaben!$K$20)^(1-1))</f>
        <v/>
      </c>
      <c r="F65" s="39" t="str">
        <f aca="false">IF(Eingaben!$B$20="","",E65/12)</f>
        <v/>
      </c>
      <c r="G65" s="31" t="str">
        <f aca="false">IF(Eingaben!$B$20="","",I65-H65)</f>
        <v/>
      </c>
      <c r="H65" s="31" t="str">
        <f aca="false">IF(Eingaben!$B$20="","",D65-J65)</f>
        <v/>
      </c>
      <c r="I65" s="31" t="str">
        <f aca="false">IF(Eingaben!$B$20="","",P65*12)</f>
        <v/>
      </c>
      <c r="J65" s="31" t="str">
        <f aca="false">IF(Eingaben!$B$20="","",IF(O65=0,MAX(0,D65-P65*12),MAX(0,D65*(1+O65)^12-P65*((1+O65)^12-1)/O65)))</f>
        <v/>
      </c>
      <c r="K65" s="31" t="str">
        <f aca="false">IF(Eingaben!$B$20="","",Eingaben!$M$20)</f>
        <v/>
      </c>
      <c r="L65" s="30" t="str">
        <f aca="false">IF(Eingaben!$B$20="","",'Steuer &amp; AfA'!L65)</f>
        <v/>
      </c>
      <c r="M65" s="40" t="str">
        <f aca="false">IF(Eingaben!$B$20="","",E65+L65-I65-K65)</f>
        <v/>
      </c>
      <c r="N65" s="39" t="str">
        <f aca="false">IF(Eingaben!$B$20="","",M65/12)</f>
        <v/>
      </c>
      <c r="O65" s="21" t="str">
        <f aca="false">IF(Eingaben!$B$20="","",Eingaben!$AF$20)</f>
        <v/>
      </c>
      <c r="P65" s="20" t="str">
        <f aca="false">IF(Eingaben!$B$20="","",Eingaben!$AE$20)</f>
        <v/>
      </c>
    </row>
    <row r="66" customFormat="false" ht="15" hidden="false" customHeight="false" outlineLevel="0" collapsed="false">
      <c r="A66" s="28" t="n">
        <v>7</v>
      </c>
      <c r="B66" s="29" t="str">
        <f aca="false">IF(Eingaben!$B$20="","",Eingaben!$B$20)</f>
        <v/>
      </c>
      <c r="C66" s="28" t="n">
        <v>2</v>
      </c>
      <c r="D66" s="31" t="str">
        <f aca="false">IF(Eingaben!$B$20="","",J65)</f>
        <v/>
      </c>
      <c r="E66" s="31" t="str">
        <f aca="false">IF(Eingaben!$B$20="","",Eingaben!$AC$20*12*(1+Eingaben!$K$20)^(2-1))</f>
        <v/>
      </c>
      <c r="F66" s="39" t="str">
        <f aca="false">IF(Eingaben!$B$20="","",E66/12)</f>
        <v/>
      </c>
      <c r="G66" s="31" t="str">
        <f aca="false">IF(Eingaben!$B$20="","",I66-H66)</f>
        <v/>
      </c>
      <c r="H66" s="31" t="str">
        <f aca="false">IF(Eingaben!$B$20="","",D66-J66)</f>
        <v/>
      </c>
      <c r="I66" s="31" t="str">
        <f aca="false">IF(Eingaben!$B$20="","",P66*12)</f>
        <v/>
      </c>
      <c r="J66" s="31" t="str">
        <f aca="false">IF(Eingaben!$B$20="","",IF(O66=0,MAX(0,D66-P66*12),MAX(0,D66*(1+O66)^12-P66*((1+O66)^12-1)/O66)))</f>
        <v/>
      </c>
      <c r="K66" s="31" t="str">
        <f aca="false">IF(Eingaben!$B$20="","",Eingaben!$M$20)</f>
        <v/>
      </c>
      <c r="L66" s="30" t="str">
        <f aca="false">IF(Eingaben!$B$20="","",'Steuer &amp; AfA'!L66)</f>
        <v/>
      </c>
      <c r="M66" s="40" t="str">
        <f aca="false">IF(Eingaben!$B$20="","",E66+L66-I66-K66)</f>
        <v/>
      </c>
      <c r="N66" s="39" t="str">
        <f aca="false">IF(Eingaben!$B$20="","",M66/12)</f>
        <v/>
      </c>
      <c r="O66" s="21" t="str">
        <f aca="false">IF(Eingaben!$B$20="","",Eingaben!$AF$20)</f>
        <v/>
      </c>
      <c r="P66" s="20" t="str">
        <f aca="false">IF(Eingaben!$B$20="","",Eingaben!$AE$20)</f>
        <v/>
      </c>
    </row>
    <row r="67" customFormat="false" ht="15" hidden="false" customHeight="false" outlineLevel="0" collapsed="false">
      <c r="A67" s="28" t="n">
        <v>7</v>
      </c>
      <c r="B67" s="29" t="str">
        <f aca="false">IF(Eingaben!$B$20="","",Eingaben!$B$20)</f>
        <v/>
      </c>
      <c r="C67" s="28" t="n">
        <v>3</v>
      </c>
      <c r="D67" s="31" t="str">
        <f aca="false">IF(Eingaben!$B$20="","",J66)</f>
        <v/>
      </c>
      <c r="E67" s="31" t="str">
        <f aca="false">IF(Eingaben!$B$20="","",Eingaben!$AC$20*12*(1+Eingaben!$K$20)^(3-1))</f>
        <v/>
      </c>
      <c r="F67" s="39" t="str">
        <f aca="false">IF(Eingaben!$B$20="","",E67/12)</f>
        <v/>
      </c>
      <c r="G67" s="31" t="str">
        <f aca="false">IF(Eingaben!$B$20="","",I67-H67)</f>
        <v/>
      </c>
      <c r="H67" s="31" t="str">
        <f aca="false">IF(Eingaben!$B$20="","",D67-J67)</f>
        <v/>
      </c>
      <c r="I67" s="31" t="str">
        <f aca="false">IF(Eingaben!$B$20="","",P67*12)</f>
        <v/>
      </c>
      <c r="J67" s="31" t="str">
        <f aca="false">IF(Eingaben!$B$20="","",IF(O67=0,MAX(0,D67-P67*12),MAX(0,D67*(1+O67)^12-P67*((1+O67)^12-1)/O67)))</f>
        <v/>
      </c>
      <c r="K67" s="31" t="str">
        <f aca="false">IF(Eingaben!$B$20="","",Eingaben!$M$20)</f>
        <v/>
      </c>
      <c r="L67" s="30" t="str">
        <f aca="false">IF(Eingaben!$B$20="","",'Steuer &amp; AfA'!L67)</f>
        <v/>
      </c>
      <c r="M67" s="40" t="str">
        <f aca="false">IF(Eingaben!$B$20="","",E67+L67-I67-K67)</f>
        <v/>
      </c>
      <c r="N67" s="39" t="str">
        <f aca="false">IF(Eingaben!$B$20="","",M67/12)</f>
        <v/>
      </c>
      <c r="O67" s="21" t="str">
        <f aca="false">IF(Eingaben!$B$20="","",Eingaben!$AF$20)</f>
        <v/>
      </c>
      <c r="P67" s="20" t="str">
        <f aca="false">IF(Eingaben!$B$20="","",Eingaben!$AE$20)</f>
        <v/>
      </c>
    </row>
    <row r="68" customFormat="false" ht="15" hidden="false" customHeight="false" outlineLevel="0" collapsed="false">
      <c r="A68" s="28" t="n">
        <v>7</v>
      </c>
      <c r="B68" s="29" t="str">
        <f aca="false">IF(Eingaben!$B$20="","",Eingaben!$B$20)</f>
        <v/>
      </c>
      <c r="C68" s="28" t="n">
        <v>4</v>
      </c>
      <c r="D68" s="31" t="str">
        <f aca="false">IF(Eingaben!$B$20="","",J67)</f>
        <v/>
      </c>
      <c r="E68" s="31" t="str">
        <f aca="false">IF(Eingaben!$B$20="","",Eingaben!$AC$20*12*(1+Eingaben!$K$20)^(4-1))</f>
        <v/>
      </c>
      <c r="F68" s="39" t="str">
        <f aca="false">IF(Eingaben!$B$20="","",E68/12)</f>
        <v/>
      </c>
      <c r="G68" s="31" t="str">
        <f aca="false">IF(Eingaben!$B$20="","",I68-H68)</f>
        <v/>
      </c>
      <c r="H68" s="31" t="str">
        <f aca="false">IF(Eingaben!$B$20="","",D68-J68)</f>
        <v/>
      </c>
      <c r="I68" s="31" t="str">
        <f aca="false">IF(Eingaben!$B$20="","",P68*12)</f>
        <v/>
      </c>
      <c r="J68" s="31" t="str">
        <f aca="false">IF(Eingaben!$B$20="","",IF(O68=0,MAX(0,D68-P68*12),MAX(0,D68*(1+O68)^12-P68*((1+O68)^12-1)/O68)))</f>
        <v/>
      </c>
      <c r="K68" s="31" t="str">
        <f aca="false">IF(Eingaben!$B$20="","",Eingaben!$M$20)</f>
        <v/>
      </c>
      <c r="L68" s="30" t="str">
        <f aca="false">IF(Eingaben!$B$20="","",'Steuer &amp; AfA'!L68)</f>
        <v/>
      </c>
      <c r="M68" s="40" t="str">
        <f aca="false">IF(Eingaben!$B$20="","",E68+L68-I68-K68)</f>
        <v/>
      </c>
      <c r="N68" s="39" t="str">
        <f aca="false">IF(Eingaben!$B$20="","",M68/12)</f>
        <v/>
      </c>
      <c r="O68" s="21" t="str">
        <f aca="false">IF(Eingaben!$B$20="","",Eingaben!$AF$20)</f>
        <v/>
      </c>
      <c r="P68" s="20" t="str">
        <f aca="false">IF(Eingaben!$B$20="","",Eingaben!$AE$20)</f>
        <v/>
      </c>
    </row>
    <row r="69" customFormat="false" ht="15" hidden="false" customHeight="false" outlineLevel="0" collapsed="false">
      <c r="A69" s="28" t="n">
        <v>7</v>
      </c>
      <c r="B69" s="29" t="str">
        <f aca="false">IF(Eingaben!$B$20="","",Eingaben!$B$20)</f>
        <v/>
      </c>
      <c r="C69" s="28" t="n">
        <v>5</v>
      </c>
      <c r="D69" s="31" t="str">
        <f aca="false">IF(Eingaben!$B$20="","",J68)</f>
        <v/>
      </c>
      <c r="E69" s="31" t="str">
        <f aca="false">IF(Eingaben!$B$20="","",Eingaben!$AC$20*12*(1+Eingaben!$K$20)^(5-1))</f>
        <v/>
      </c>
      <c r="F69" s="39" t="str">
        <f aca="false">IF(Eingaben!$B$20="","",E69/12)</f>
        <v/>
      </c>
      <c r="G69" s="31" t="str">
        <f aca="false">IF(Eingaben!$B$20="","",I69-H69)</f>
        <v/>
      </c>
      <c r="H69" s="31" t="str">
        <f aca="false">IF(Eingaben!$B$20="","",D69-J69)</f>
        <v/>
      </c>
      <c r="I69" s="31" t="str">
        <f aca="false">IF(Eingaben!$B$20="","",P69*12)</f>
        <v/>
      </c>
      <c r="J69" s="31" t="str">
        <f aca="false">IF(Eingaben!$B$20="","",IF(O69=0,MAX(0,D69-P69*12),MAX(0,D69*(1+O69)^12-P69*((1+O69)^12-1)/O69)))</f>
        <v/>
      </c>
      <c r="K69" s="31" t="str">
        <f aca="false">IF(Eingaben!$B$20="","",Eingaben!$M$20)</f>
        <v/>
      </c>
      <c r="L69" s="30" t="str">
        <f aca="false">IF(Eingaben!$B$20="","",'Steuer &amp; AfA'!L69)</f>
        <v/>
      </c>
      <c r="M69" s="40" t="str">
        <f aca="false">IF(Eingaben!$B$20="","",E69+L69-I69-K69)</f>
        <v/>
      </c>
      <c r="N69" s="39" t="str">
        <f aca="false">IF(Eingaben!$B$20="","",M69/12)</f>
        <v/>
      </c>
      <c r="O69" s="21" t="str">
        <f aca="false">IF(Eingaben!$B$20="","",Eingaben!$AF$20)</f>
        <v/>
      </c>
      <c r="P69" s="20" t="str">
        <f aca="false">IF(Eingaben!$B$20="","",Eingaben!$AE$20)</f>
        <v/>
      </c>
    </row>
    <row r="70" customFormat="false" ht="15" hidden="false" customHeight="false" outlineLevel="0" collapsed="false">
      <c r="A70" s="28" t="n">
        <v>7</v>
      </c>
      <c r="B70" s="29" t="str">
        <f aca="false">IF(Eingaben!$B$20="","",Eingaben!$B$20)</f>
        <v/>
      </c>
      <c r="C70" s="28" t="n">
        <v>6</v>
      </c>
      <c r="D70" s="31" t="str">
        <f aca="false">IF(Eingaben!$B$20="","",J69)</f>
        <v/>
      </c>
      <c r="E70" s="31" t="str">
        <f aca="false">IF(Eingaben!$B$20="","",Eingaben!$AC$20*12*(1+Eingaben!$K$20)^(6-1))</f>
        <v/>
      </c>
      <c r="F70" s="39" t="str">
        <f aca="false">IF(Eingaben!$B$20="","",E70/12)</f>
        <v/>
      </c>
      <c r="G70" s="31" t="str">
        <f aca="false">IF(Eingaben!$B$20="","",I70-H70)</f>
        <v/>
      </c>
      <c r="H70" s="31" t="str">
        <f aca="false">IF(Eingaben!$B$20="","",D70-J70)</f>
        <v/>
      </c>
      <c r="I70" s="31" t="str">
        <f aca="false">IF(Eingaben!$B$20="","",P70*12)</f>
        <v/>
      </c>
      <c r="J70" s="31" t="str">
        <f aca="false">IF(Eingaben!$B$20="","",IF(O70=0,MAX(0,D70-P70*12),MAX(0,D70*(1+O70)^12-P70*((1+O70)^12-1)/O70)))</f>
        <v/>
      </c>
      <c r="K70" s="31" t="str">
        <f aca="false">IF(Eingaben!$B$20="","",Eingaben!$M$20)</f>
        <v/>
      </c>
      <c r="L70" s="30" t="str">
        <f aca="false">IF(Eingaben!$B$20="","",'Steuer &amp; AfA'!L70)</f>
        <v/>
      </c>
      <c r="M70" s="40" t="str">
        <f aca="false">IF(Eingaben!$B$20="","",E70+L70-I70-K70)</f>
        <v/>
      </c>
      <c r="N70" s="39" t="str">
        <f aca="false">IF(Eingaben!$B$20="","",M70/12)</f>
        <v/>
      </c>
      <c r="O70" s="21" t="str">
        <f aca="false">IF(Eingaben!$B$20="","",Eingaben!$AF$20)</f>
        <v/>
      </c>
      <c r="P70" s="20" t="str">
        <f aca="false">IF(Eingaben!$B$20="","",Eingaben!$AE$20)</f>
        <v/>
      </c>
    </row>
    <row r="71" customFormat="false" ht="15" hidden="false" customHeight="false" outlineLevel="0" collapsed="false">
      <c r="A71" s="28" t="n">
        <v>7</v>
      </c>
      <c r="B71" s="29" t="str">
        <f aca="false">IF(Eingaben!$B$20="","",Eingaben!$B$20)</f>
        <v/>
      </c>
      <c r="C71" s="28" t="n">
        <v>7</v>
      </c>
      <c r="D71" s="31" t="str">
        <f aca="false">IF(Eingaben!$B$20="","",J70)</f>
        <v/>
      </c>
      <c r="E71" s="31" t="str">
        <f aca="false">IF(Eingaben!$B$20="","",Eingaben!$AC$20*12*(1+Eingaben!$K$20)^(7-1))</f>
        <v/>
      </c>
      <c r="F71" s="39" t="str">
        <f aca="false">IF(Eingaben!$B$20="","",E71/12)</f>
        <v/>
      </c>
      <c r="G71" s="31" t="str">
        <f aca="false">IF(Eingaben!$B$20="","",I71-H71)</f>
        <v/>
      </c>
      <c r="H71" s="31" t="str">
        <f aca="false">IF(Eingaben!$B$20="","",D71-J71)</f>
        <v/>
      </c>
      <c r="I71" s="31" t="str">
        <f aca="false">IF(Eingaben!$B$20="","",P71*12)</f>
        <v/>
      </c>
      <c r="J71" s="31" t="str">
        <f aca="false">IF(Eingaben!$B$20="","",IF(O71=0,MAX(0,D71-P71*12),MAX(0,D71*(1+O71)^12-P71*((1+O71)^12-1)/O71)))</f>
        <v/>
      </c>
      <c r="K71" s="31" t="str">
        <f aca="false">IF(Eingaben!$B$20="","",Eingaben!$M$20)</f>
        <v/>
      </c>
      <c r="L71" s="30" t="str">
        <f aca="false">IF(Eingaben!$B$20="","",'Steuer &amp; AfA'!L71)</f>
        <v/>
      </c>
      <c r="M71" s="40" t="str">
        <f aca="false">IF(Eingaben!$B$20="","",E71+L71-I71-K71)</f>
        <v/>
      </c>
      <c r="N71" s="39" t="str">
        <f aca="false">IF(Eingaben!$B$20="","",M71/12)</f>
        <v/>
      </c>
      <c r="O71" s="21" t="str">
        <f aca="false">IF(Eingaben!$B$20="","",Eingaben!$AF$20)</f>
        <v/>
      </c>
      <c r="P71" s="20" t="str">
        <f aca="false">IF(Eingaben!$B$20="","",Eingaben!$AE$20)</f>
        <v/>
      </c>
    </row>
    <row r="72" customFormat="false" ht="15" hidden="false" customHeight="false" outlineLevel="0" collapsed="false">
      <c r="A72" s="28" t="n">
        <v>7</v>
      </c>
      <c r="B72" s="29" t="str">
        <f aca="false">IF(Eingaben!$B$20="","",Eingaben!$B$20)</f>
        <v/>
      </c>
      <c r="C72" s="28" t="n">
        <v>8</v>
      </c>
      <c r="D72" s="31" t="str">
        <f aca="false">IF(Eingaben!$B$20="","",J71)</f>
        <v/>
      </c>
      <c r="E72" s="31" t="str">
        <f aca="false">IF(Eingaben!$B$20="","",Eingaben!$AC$20*12*(1+Eingaben!$K$20)^(8-1))</f>
        <v/>
      </c>
      <c r="F72" s="39" t="str">
        <f aca="false">IF(Eingaben!$B$20="","",E72/12)</f>
        <v/>
      </c>
      <c r="G72" s="31" t="str">
        <f aca="false">IF(Eingaben!$B$20="","",I72-H72)</f>
        <v/>
      </c>
      <c r="H72" s="31" t="str">
        <f aca="false">IF(Eingaben!$B$20="","",D72-J72)</f>
        <v/>
      </c>
      <c r="I72" s="31" t="str">
        <f aca="false">IF(Eingaben!$B$20="","",P72*12)</f>
        <v/>
      </c>
      <c r="J72" s="31" t="str">
        <f aca="false">IF(Eingaben!$B$20="","",IF(O72=0,MAX(0,D72-P72*12),MAX(0,D72*(1+O72)^12-P72*((1+O72)^12-1)/O72)))</f>
        <v/>
      </c>
      <c r="K72" s="31" t="str">
        <f aca="false">IF(Eingaben!$B$20="","",Eingaben!$M$20)</f>
        <v/>
      </c>
      <c r="L72" s="30" t="str">
        <f aca="false">IF(Eingaben!$B$20="","",'Steuer &amp; AfA'!L72)</f>
        <v/>
      </c>
      <c r="M72" s="40" t="str">
        <f aca="false">IF(Eingaben!$B$20="","",E72+L72-I72-K72)</f>
        <v/>
      </c>
      <c r="N72" s="39" t="str">
        <f aca="false">IF(Eingaben!$B$20="","",M72/12)</f>
        <v/>
      </c>
      <c r="O72" s="21" t="str">
        <f aca="false">IF(Eingaben!$B$20="","",Eingaben!$AF$20)</f>
        <v/>
      </c>
      <c r="P72" s="20" t="str">
        <f aca="false">IF(Eingaben!$B$20="","",Eingaben!$AE$20)</f>
        <v/>
      </c>
    </row>
    <row r="73" customFormat="false" ht="15" hidden="false" customHeight="false" outlineLevel="0" collapsed="false">
      <c r="A73" s="28" t="n">
        <v>7</v>
      </c>
      <c r="B73" s="29" t="str">
        <f aca="false">IF(Eingaben!$B$20="","",Eingaben!$B$20)</f>
        <v/>
      </c>
      <c r="C73" s="28" t="n">
        <v>9</v>
      </c>
      <c r="D73" s="31" t="str">
        <f aca="false">IF(Eingaben!$B$20="","",J72)</f>
        <v/>
      </c>
      <c r="E73" s="31" t="str">
        <f aca="false">IF(Eingaben!$B$20="","",Eingaben!$AC$20*12*(1+Eingaben!$K$20)^(9-1))</f>
        <v/>
      </c>
      <c r="F73" s="39" t="str">
        <f aca="false">IF(Eingaben!$B$20="","",E73/12)</f>
        <v/>
      </c>
      <c r="G73" s="31" t="str">
        <f aca="false">IF(Eingaben!$B$20="","",I73-H73)</f>
        <v/>
      </c>
      <c r="H73" s="31" t="str">
        <f aca="false">IF(Eingaben!$B$20="","",D73-J73)</f>
        <v/>
      </c>
      <c r="I73" s="31" t="str">
        <f aca="false">IF(Eingaben!$B$20="","",P73*12)</f>
        <v/>
      </c>
      <c r="J73" s="31" t="str">
        <f aca="false">IF(Eingaben!$B$20="","",IF(O73=0,MAX(0,D73-P73*12),MAX(0,D73*(1+O73)^12-P73*((1+O73)^12-1)/O73)))</f>
        <v/>
      </c>
      <c r="K73" s="31" t="str">
        <f aca="false">IF(Eingaben!$B$20="","",Eingaben!$M$20)</f>
        <v/>
      </c>
      <c r="L73" s="30" t="str">
        <f aca="false">IF(Eingaben!$B$20="","",'Steuer &amp; AfA'!L73)</f>
        <v/>
      </c>
      <c r="M73" s="40" t="str">
        <f aca="false">IF(Eingaben!$B$20="","",E73+L73-I73-K73)</f>
        <v/>
      </c>
      <c r="N73" s="39" t="str">
        <f aca="false">IF(Eingaben!$B$20="","",M73/12)</f>
        <v/>
      </c>
      <c r="O73" s="21" t="str">
        <f aca="false">IF(Eingaben!$B$20="","",Eingaben!$AF$20)</f>
        <v/>
      </c>
      <c r="P73" s="20" t="str">
        <f aca="false">IF(Eingaben!$B$20="","",Eingaben!$AE$20)</f>
        <v/>
      </c>
    </row>
    <row r="74" customFormat="false" ht="15" hidden="false" customHeight="false" outlineLevel="0" collapsed="false">
      <c r="A74" s="28" t="n">
        <v>7</v>
      </c>
      <c r="B74" s="29" t="str">
        <f aca="false">IF(Eingaben!$B$20="","",Eingaben!$B$20)</f>
        <v/>
      </c>
      <c r="C74" s="28" t="n">
        <v>10</v>
      </c>
      <c r="D74" s="31" t="str">
        <f aca="false">IF(Eingaben!$B$20="","",J73)</f>
        <v/>
      </c>
      <c r="E74" s="31" t="str">
        <f aca="false">IF(Eingaben!$B$20="","",Eingaben!$AC$20*12*(1+Eingaben!$K$20)^(10-1))</f>
        <v/>
      </c>
      <c r="F74" s="39" t="str">
        <f aca="false">IF(Eingaben!$B$20="","",E74/12)</f>
        <v/>
      </c>
      <c r="G74" s="31" t="str">
        <f aca="false">IF(Eingaben!$B$20="","",I74-H74)</f>
        <v/>
      </c>
      <c r="H74" s="31" t="str">
        <f aca="false">IF(Eingaben!$B$20="","",D74-J74)</f>
        <v/>
      </c>
      <c r="I74" s="31" t="str">
        <f aca="false">IF(Eingaben!$B$20="","",P74*12)</f>
        <v/>
      </c>
      <c r="J74" s="31" t="str">
        <f aca="false">IF(Eingaben!$B$20="","",IF(O74=0,MAX(0,D74-P74*12),MAX(0,D74*(1+O74)^12-P74*((1+O74)^12-1)/O74)))</f>
        <v/>
      </c>
      <c r="K74" s="31" t="str">
        <f aca="false">IF(Eingaben!$B$20="","",Eingaben!$M$20)</f>
        <v/>
      </c>
      <c r="L74" s="30" t="str">
        <f aca="false">IF(Eingaben!$B$20="","",'Steuer &amp; AfA'!L74)</f>
        <v/>
      </c>
      <c r="M74" s="40" t="str">
        <f aca="false">IF(Eingaben!$B$20="","",E74+L74-I74-K74)</f>
        <v/>
      </c>
      <c r="N74" s="39" t="str">
        <f aca="false">IF(Eingaben!$B$20="","",M74/12)</f>
        <v/>
      </c>
      <c r="O74" s="21" t="str">
        <f aca="false">IF(Eingaben!$B$20="","",Eingaben!$AF$20)</f>
        <v/>
      </c>
      <c r="P74" s="20" t="str">
        <f aca="false">IF(Eingaben!$B$20="","",Eingaben!$AE$20)</f>
        <v/>
      </c>
    </row>
    <row r="75" customFormat="false" ht="15" hidden="false" customHeight="false" outlineLevel="0" collapsed="false">
      <c r="A75" s="35" t="n">
        <v>8</v>
      </c>
      <c r="B75" s="29" t="str">
        <f aca="false">IF(Eingaben!$B$21="","",Eingaben!$B$21)</f>
        <v/>
      </c>
      <c r="C75" s="35" t="n">
        <v>1</v>
      </c>
      <c r="D75" s="36" t="str">
        <f aca="false">IF(Eingaben!$B$21="","",Eingaben!$AB$21)</f>
        <v/>
      </c>
      <c r="E75" s="36" t="str">
        <f aca="false">IF(Eingaben!$B$21="","",Eingaben!$AC$21*12*(1+Eingaben!$K$21)^(1-1))</f>
        <v/>
      </c>
      <c r="F75" s="41" t="str">
        <f aca="false">IF(Eingaben!$B$21="","",E75/12)</f>
        <v/>
      </c>
      <c r="G75" s="36" t="str">
        <f aca="false">IF(Eingaben!$B$21="","",I75-H75)</f>
        <v/>
      </c>
      <c r="H75" s="36" t="str">
        <f aca="false">IF(Eingaben!$B$21="","",D75-J75)</f>
        <v/>
      </c>
      <c r="I75" s="36" t="str">
        <f aca="false">IF(Eingaben!$B$21="","",P75*12)</f>
        <v/>
      </c>
      <c r="J75" s="36" t="str">
        <f aca="false">IF(Eingaben!$B$21="","",IF(O75=0,MAX(0,D75-P75*12),MAX(0,D75*(1+O75)^12-P75*((1+O75)^12-1)/O75)))</f>
        <v/>
      </c>
      <c r="K75" s="36" t="str">
        <f aca="false">IF(Eingaben!$B$21="","",Eingaben!$M$21)</f>
        <v/>
      </c>
      <c r="L75" s="30" t="str">
        <f aca="false">IF(Eingaben!$B$21="","",'Steuer &amp; AfA'!L75)</f>
        <v/>
      </c>
      <c r="M75" s="42" t="str">
        <f aca="false">IF(Eingaben!$B$21="","",E75+L75-I75-K75)</f>
        <v/>
      </c>
      <c r="N75" s="41" t="str">
        <f aca="false">IF(Eingaben!$B$21="","",M75/12)</f>
        <v/>
      </c>
      <c r="O75" s="21" t="str">
        <f aca="false">IF(Eingaben!$B$21="","",Eingaben!$AF$21)</f>
        <v/>
      </c>
      <c r="P75" s="20" t="str">
        <f aca="false">IF(Eingaben!$B$21="","",Eingaben!$AE$21)</f>
        <v/>
      </c>
    </row>
    <row r="76" customFormat="false" ht="15" hidden="false" customHeight="false" outlineLevel="0" collapsed="false">
      <c r="A76" s="35" t="n">
        <v>8</v>
      </c>
      <c r="B76" s="29" t="str">
        <f aca="false">IF(Eingaben!$B$21="","",Eingaben!$B$21)</f>
        <v/>
      </c>
      <c r="C76" s="35" t="n">
        <v>2</v>
      </c>
      <c r="D76" s="36" t="str">
        <f aca="false">IF(Eingaben!$B$21="","",J75)</f>
        <v/>
      </c>
      <c r="E76" s="36" t="str">
        <f aca="false">IF(Eingaben!$B$21="","",Eingaben!$AC$21*12*(1+Eingaben!$K$21)^(2-1))</f>
        <v/>
      </c>
      <c r="F76" s="41" t="str">
        <f aca="false">IF(Eingaben!$B$21="","",E76/12)</f>
        <v/>
      </c>
      <c r="G76" s="36" t="str">
        <f aca="false">IF(Eingaben!$B$21="","",I76-H76)</f>
        <v/>
      </c>
      <c r="H76" s="36" t="str">
        <f aca="false">IF(Eingaben!$B$21="","",D76-J76)</f>
        <v/>
      </c>
      <c r="I76" s="36" t="str">
        <f aca="false">IF(Eingaben!$B$21="","",P76*12)</f>
        <v/>
      </c>
      <c r="J76" s="36" t="str">
        <f aca="false">IF(Eingaben!$B$21="","",IF(O76=0,MAX(0,D76-P76*12),MAX(0,D76*(1+O76)^12-P76*((1+O76)^12-1)/O76)))</f>
        <v/>
      </c>
      <c r="K76" s="36" t="str">
        <f aca="false">IF(Eingaben!$B$21="","",Eingaben!$M$21)</f>
        <v/>
      </c>
      <c r="L76" s="30" t="str">
        <f aca="false">IF(Eingaben!$B$21="","",'Steuer &amp; AfA'!L76)</f>
        <v/>
      </c>
      <c r="M76" s="42" t="str">
        <f aca="false">IF(Eingaben!$B$21="","",E76+L76-I76-K76)</f>
        <v/>
      </c>
      <c r="N76" s="41" t="str">
        <f aca="false">IF(Eingaben!$B$21="","",M76/12)</f>
        <v/>
      </c>
      <c r="O76" s="21" t="str">
        <f aca="false">IF(Eingaben!$B$21="","",Eingaben!$AF$21)</f>
        <v/>
      </c>
      <c r="P76" s="20" t="str">
        <f aca="false">IF(Eingaben!$B$21="","",Eingaben!$AE$21)</f>
        <v/>
      </c>
    </row>
    <row r="77" customFormat="false" ht="15" hidden="false" customHeight="false" outlineLevel="0" collapsed="false">
      <c r="A77" s="35" t="n">
        <v>8</v>
      </c>
      <c r="B77" s="29" t="str">
        <f aca="false">IF(Eingaben!$B$21="","",Eingaben!$B$21)</f>
        <v/>
      </c>
      <c r="C77" s="35" t="n">
        <v>3</v>
      </c>
      <c r="D77" s="36" t="str">
        <f aca="false">IF(Eingaben!$B$21="","",J76)</f>
        <v/>
      </c>
      <c r="E77" s="36" t="str">
        <f aca="false">IF(Eingaben!$B$21="","",Eingaben!$AC$21*12*(1+Eingaben!$K$21)^(3-1))</f>
        <v/>
      </c>
      <c r="F77" s="41" t="str">
        <f aca="false">IF(Eingaben!$B$21="","",E77/12)</f>
        <v/>
      </c>
      <c r="G77" s="36" t="str">
        <f aca="false">IF(Eingaben!$B$21="","",I77-H77)</f>
        <v/>
      </c>
      <c r="H77" s="36" t="str">
        <f aca="false">IF(Eingaben!$B$21="","",D77-J77)</f>
        <v/>
      </c>
      <c r="I77" s="36" t="str">
        <f aca="false">IF(Eingaben!$B$21="","",P77*12)</f>
        <v/>
      </c>
      <c r="J77" s="36" t="str">
        <f aca="false">IF(Eingaben!$B$21="","",IF(O77=0,MAX(0,D77-P77*12),MAX(0,D77*(1+O77)^12-P77*((1+O77)^12-1)/O77)))</f>
        <v/>
      </c>
      <c r="K77" s="36" t="str">
        <f aca="false">IF(Eingaben!$B$21="","",Eingaben!$M$21)</f>
        <v/>
      </c>
      <c r="L77" s="30" t="str">
        <f aca="false">IF(Eingaben!$B$21="","",'Steuer &amp; AfA'!L77)</f>
        <v/>
      </c>
      <c r="M77" s="42" t="str">
        <f aca="false">IF(Eingaben!$B$21="","",E77+L77-I77-K77)</f>
        <v/>
      </c>
      <c r="N77" s="41" t="str">
        <f aca="false">IF(Eingaben!$B$21="","",M77/12)</f>
        <v/>
      </c>
      <c r="O77" s="21" t="str">
        <f aca="false">IF(Eingaben!$B$21="","",Eingaben!$AF$21)</f>
        <v/>
      </c>
      <c r="P77" s="20" t="str">
        <f aca="false">IF(Eingaben!$B$21="","",Eingaben!$AE$21)</f>
        <v/>
      </c>
    </row>
    <row r="78" customFormat="false" ht="15" hidden="false" customHeight="false" outlineLevel="0" collapsed="false">
      <c r="A78" s="35" t="n">
        <v>8</v>
      </c>
      <c r="B78" s="29" t="str">
        <f aca="false">IF(Eingaben!$B$21="","",Eingaben!$B$21)</f>
        <v/>
      </c>
      <c r="C78" s="35" t="n">
        <v>4</v>
      </c>
      <c r="D78" s="36" t="str">
        <f aca="false">IF(Eingaben!$B$21="","",J77)</f>
        <v/>
      </c>
      <c r="E78" s="36" t="str">
        <f aca="false">IF(Eingaben!$B$21="","",Eingaben!$AC$21*12*(1+Eingaben!$K$21)^(4-1))</f>
        <v/>
      </c>
      <c r="F78" s="41" t="str">
        <f aca="false">IF(Eingaben!$B$21="","",E78/12)</f>
        <v/>
      </c>
      <c r="G78" s="36" t="str">
        <f aca="false">IF(Eingaben!$B$21="","",I78-H78)</f>
        <v/>
      </c>
      <c r="H78" s="36" t="str">
        <f aca="false">IF(Eingaben!$B$21="","",D78-J78)</f>
        <v/>
      </c>
      <c r="I78" s="36" t="str">
        <f aca="false">IF(Eingaben!$B$21="","",P78*12)</f>
        <v/>
      </c>
      <c r="J78" s="36" t="str">
        <f aca="false">IF(Eingaben!$B$21="","",IF(O78=0,MAX(0,D78-P78*12),MAX(0,D78*(1+O78)^12-P78*((1+O78)^12-1)/O78)))</f>
        <v/>
      </c>
      <c r="K78" s="36" t="str">
        <f aca="false">IF(Eingaben!$B$21="","",Eingaben!$M$21)</f>
        <v/>
      </c>
      <c r="L78" s="30" t="str">
        <f aca="false">IF(Eingaben!$B$21="","",'Steuer &amp; AfA'!L78)</f>
        <v/>
      </c>
      <c r="M78" s="42" t="str">
        <f aca="false">IF(Eingaben!$B$21="","",E78+L78-I78-K78)</f>
        <v/>
      </c>
      <c r="N78" s="41" t="str">
        <f aca="false">IF(Eingaben!$B$21="","",M78/12)</f>
        <v/>
      </c>
      <c r="O78" s="21" t="str">
        <f aca="false">IF(Eingaben!$B$21="","",Eingaben!$AF$21)</f>
        <v/>
      </c>
      <c r="P78" s="20" t="str">
        <f aca="false">IF(Eingaben!$B$21="","",Eingaben!$AE$21)</f>
        <v/>
      </c>
    </row>
    <row r="79" customFormat="false" ht="15" hidden="false" customHeight="false" outlineLevel="0" collapsed="false">
      <c r="A79" s="35" t="n">
        <v>8</v>
      </c>
      <c r="B79" s="29" t="str">
        <f aca="false">IF(Eingaben!$B$21="","",Eingaben!$B$21)</f>
        <v/>
      </c>
      <c r="C79" s="35" t="n">
        <v>5</v>
      </c>
      <c r="D79" s="36" t="str">
        <f aca="false">IF(Eingaben!$B$21="","",J78)</f>
        <v/>
      </c>
      <c r="E79" s="36" t="str">
        <f aca="false">IF(Eingaben!$B$21="","",Eingaben!$AC$21*12*(1+Eingaben!$K$21)^(5-1))</f>
        <v/>
      </c>
      <c r="F79" s="41" t="str">
        <f aca="false">IF(Eingaben!$B$21="","",E79/12)</f>
        <v/>
      </c>
      <c r="G79" s="36" t="str">
        <f aca="false">IF(Eingaben!$B$21="","",I79-H79)</f>
        <v/>
      </c>
      <c r="H79" s="36" t="str">
        <f aca="false">IF(Eingaben!$B$21="","",D79-J79)</f>
        <v/>
      </c>
      <c r="I79" s="36" t="str">
        <f aca="false">IF(Eingaben!$B$21="","",P79*12)</f>
        <v/>
      </c>
      <c r="J79" s="36" t="str">
        <f aca="false">IF(Eingaben!$B$21="","",IF(O79=0,MAX(0,D79-P79*12),MAX(0,D79*(1+O79)^12-P79*((1+O79)^12-1)/O79)))</f>
        <v/>
      </c>
      <c r="K79" s="36" t="str">
        <f aca="false">IF(Eingaben!$B$21="","",Eingaben!$M$21)</f>
        <v/>
      </c>
      <c r="L79" s="30" t="str">
        <f aca="false">IF(Eingaben!$B$21="","",'Steuer &amp; AfA'!L79)</f>
        <v/>
      </c>
      <c r="M79" s="42" t="str">
        <f aca="false">IF(Eingaben!$B$21="","",E79+L79-I79-K79)</f>
        <v/>
      </c>
      <c r="N79" s="41" t="str">
        <f aca="false">IF(Eingaben!$B$21="","",M79/12)</f>
        <v/>
      </c>
      <c r="O79" s="21" t="str">
        <f aca="false">IF(Eingaben!$B$21="","",Eingaben!$AF$21)</f>
        <v/>
      </c>
      <c r="P79" s="20" t="str">
        <f aca="false">IF(Eingaben!$B$21="","",Eingaben!$AE$21)</f>
        <v/>
      </c>
    </row>
    <row r="80" customFormat="false" ht="15" hidden="false" customHeight="false" outlineLevel="0" collapsed="false">
      <c r="A80" s="35" t="n">
        <v>8</v>
      </c>
      <c r="B80" s="29" t="str">
        <f aca="false">IF(Eingaben!$B$21="","",Eingaben!$B$21)</f>
        <v/>
      </c>
      <c r="C80" s="35" t="n">
        <v>6</v>
      </c>
      <c r="D80" s="36" t="str">
        <f aca="false">IF(Eingaben!$B$21="","",J79)</f>
        <v/>
      </c>
      <c r="E80" s="36" t="str">
        <f aca="false">IF(Eingaben!$B$21="","",Eingaben!$AC$21*12*(1+Eingaben!$K$21)^(6-1))</f>
        <v/>
      </c>
      <c r="F80" s="41" t="str">
        <f aca="false">IF(Eingaben!$B$21="","",E80/12)</f>
        <v/>
      </c>
      <c r="G80" s="36" t="str">
        <f aca="false">IF(Eingaben!$B$21="","",I80-H80)</f>
        <v/>
      </c>
      <c r="H80" s="36" t="str">
        <f aca="false">IF(Eingaben!$B$21="","",D80-J80)</f>
        <v/>
      </c>
      <c r="I80" s="36" t="str">
        <f aca="false">IF(Eingaben!$B$21="","",P80*12)</f>
        <v/>
      </c>
      <c r="J80" s="36" t="str">
        <f aca="false">IF(Eingaben!$B$21="","",IF(O80=0,MAX(0,D80-P80*12),MAX(0,D80*(1+O80)^12-P80*((1+O80)^12-1)/O80)))</f>
        <v/>
      </c>
      <c r="K80" s="36" t="str">
        <f aca="false">IF(Eingaben!$B$21="","",Eingaben!$M$21)</f>
        <v/>
      </c>
      <c r="L80" s="30" t="str">
        <f aca="false">IF(Eingaben!$B$21="","",'Steuer &amp; AfA'!L80)</f>
        <v/>
      </c>
      <c r="M80" s="42" t="str">
        <f aca="false">IF(Eingaben!$B$21="","",E80+L80-I80-K80)</f>
        <v/>
      </c>
      <c r="N80" s="41" t="str">
        <f aca="false">IF(Eingaben!$B$21="","",M80/12)</f>
        <v/>
      </c>
      <c r="O80" s="21" t="str">
        <f aca="false">IF(Eingaben!$B$21="","",Eingaben!$AF$21)</f>
        <v/>
      </c>
      <c r="P80" s="20" t="str">
        <f aca="false">IF(Eingaben!$B$21="","",Eingaben!$AE$21)</f>
        <v/>
      </c>
    </row>
    <row r="81" customFormat="false" ht="15" hidden="false" customHeight="false" outlineLevel="0" collapsed="false">
      <c r="A81" s="35" t="n">
        <v>8</v>
      </c>
      <c r="B81" s="29" t="str">
        <f aca="false">IF(Eingaben!$B$21="","",Eingaben!$B$21)</f>
        <v/>
      </c>
      <c r="C81" s="35" t="n">
        <v>7</v>
      </c>
      <c r="D81" s="36" t="str">
        <f aca="false">IF(Eingaben!$B$21="","",J80)</f>
        <v/>
      </c>
      <c r="E81" s="36" t="str">
        <f aca="false">IF(Eingaben!$B$21="","",Eingaben!$AC$21*12*(1+Eingaben!$K$21)^(7-1))</f>
        <v/>
      </c>
      <c r="F81" s="41" t="str">
        <f aca="false">IF(Eingaben!$B$21="","",E81/12)</f>
        <v/>
      </c>
      <c r="G81" s="36" t="str">
        <f aca="false">IF(Eingaben!$B$21="","",I81-H81)</f>
        <v/>
      </c>
      <c r="H81" s="36" t="str">
        <f aca="false">IF(Eingaben!$B$21="","",D81-J81)</f>
        <v/>
      </c>
      <c r="I81" s="36" t="str">
        <f aca="false">IF(Eingaben!$B$21="","",P81*12)</f>
        <v/>
      </c>
      <c r="J81" s="36" t="str">
        <f aca="false">IF(Eingaben!$B$21="","",IF(O81=0,MAX(0,D81-P81*12),MAX(0,D81*(1+O81)^12-P81*((1+O81)^12-1)/O81)))</f>
        <v/>
      </c>
      <c r="K81" s="36" t="str">
        <f aca="false">IF(Eingaben!$B$21="","",Eingaben!$M$21)</f>
        <v/>
      </c>
      <c r="L81" s="30" t="str">
        <f aca="false">IF(Eingaben!$B$21="","",'Steuer &amp; AfA'!L81)</f>
        <v/>
      </c>
      <c r="M81" s="42" t="str">
        <f aca="false">IF(Eingaben!$B$21="","",E81+L81-I81-K81)</f>
        <v/>
      </c>
      <c r="N81" s="41" t="str">
        <f aca="false">IF(Eingaben!$B$21="","",M81/12)</f>
        <v/>
      </c>
      <c r="O81" s="21" t="str">
        <f aca="false">IF(Eingaben!$B$21="","",Eingaben!$AF$21)</f>
        <v/>
      </c>
      <c r="P81" s="20" t="str">
        <f aca="false">IF(Eingaben!$B$21="","",Eingaben!$AE$21)</f>
        <v/>
      </c>
    </row>
    <row r="82" customFormat="false" ht="15" hidden="false" customHeight="false" outlineLevel="0" collapsed="false">
      <c r="A82" s="35" t="n">
        <v>8</v>
      </c>
      <c r="B82" s="29" t="str">
        <f aca="false">IF(Eingaben!$B$21="","",Eingaben!$B$21)</f>
        <v/>
      </c>
      <c r="C82" s="35" t="n">
        <v>8</v>
      </c>
      <c r="D82" s="36" t="str">
        <f aca="false">IF(Eingaben!$B$21="","",J81)</f>
        <v/>
      </c>
      <c r="E82" s="36" t="str">
        <f aca="false">IF(Eingaben!$B$21="","",Eingaben!$AC$21*12*(1+Eingaben!$K$21)^(8-1))</f>
        <v/>
      </c>
      <c r="F82" s="41" t="str">
        <f aca="false">IF(Eingaben!$B$21="","",E82/12)</f>
        <v/>
      </c>
      <c r="G82" s="36" t="str">
        <f aca="false">IF(Eingaben!$B$21="","",I82-H82)</f>
        <v/>
      </c>
      <c r="H82" s="36" t="str">
        <f aca="false">IF(Eingaben!$B$21="","",D82-J82)</f>
        <v/>
      </c>
      <c r="I82" s="36" t="str">
        <f aca="false">IF(Eingaben!$B$21="","",P82*12)</f>
        <v/>
      </c>
      <c r="J82" s="36" t="str">
        <f aca="false">IF(Eingaben!$B$21="","",IF(O82=0,MAX(0,D82-P82*12),MAX(0,D82*(1+O82)^12-P82*((1+O82)^12-1)/O82)))</f>
        <v/>
      </c>
      <c r="K82" s="36" t="str">
        <f aca="false">IF(Eingaben!$B$21="","",Eingaben!$M$21)</f>
        <v/>
      </c>
      <c r="L82" s="30" t="str">
        <f aca="false">IF(Eingaben!$B$21="","",'Steuer &amp; AfA'!L82)</f>
        <v/>
      </c>
      <c r="M82" s="42" t="str">
        <f aca="false">IF(Eingaben!$B$21="","",E82+L82-I82-K82)</f>
        <v/>
      </c>
      <c r="N82" s="41" t="str">
        <f aca="false">IF(Eingaben!$B$21="","",M82/12)</f>
        <v/>
      </c>
      <c r="O82" s="21" t="str">
        <f aca="false">IF(Eingaben!$B$21="","",Eingaben!$AF$21)</f>
        <v/>
      </c>
      <c r="P82" s="20" t="str">
        <f aca="false">IF(Eingaben!$B$21="","",Eingaben!$AE$21)</f>
        <v/>
      </c>
    </row>
    <row r="83" customFormat="false" ht="15" hidden="false" customHeight="false" outlineLevel="0" collapsed="false">
      <c r="A83" s="35" t="n">
        <v>8</v>
      </c>
      <c r="B83" s="29" t="str">
        <f aca="false">IF(Eingaben!$B$21="","",Eingaben!$B$21)</f>
        <v/>
      </c>
      <c r="C83" s="35" t="n">
        <v>9</v>
      </c>
      <c r="D83" s="36" t="str">
        <f aca="false">IF(Eingaben!$B$21="","",J82)</f>
        <v/>
      </c>
      <c r="E83" s="36" t="str">
        <f aca="false">IF(Eingaben!$B$21="","",Eingaben!$AC$21*12*(1+Eingaben!$K$21)^(9-1))</f>
        <v/>
      </c>
      <c r="F83" s="41" t="str">
        <f aca="false">IF(Eingaben!$B$21="","",E83/12)</f>
        <v/>
      </c>
      <c r="G83" s="36" t="str">
        <f aca="false">IF(Eingaben!$B$21="","",I83-H83)</f>
        <v/>
      </c>
      <c r="H83" s="36" t="str">
        <f aca="false">IF(Eingaben!$B$21="","",D83-J83)</f>
        <v/>
      </c>
      <c r="I83" s="36" t="str">
        <f aca="false">IF(Eingaben!$B$21="","",P83*12)</f>
        <v/>
      </c>
      <c r="J83" s="36" t="str">
        <f aca="false">IF(Eingaben!$B$21="","",IF(O83=0,MAX(0,D83-P83*12),MAX(0,D83*(1+O83)^12-P83*((1+O83)^12-1)/O83)))</f>
        <v/>
      </c>
      <c r="K83" s="36" t="str">
        <f aca="false">IF(Eingaben!$B$21="","",Eingaben!$M$21)</f>
        <v/>
      </c>
      <c r="L83" s="30" t="str">
        <f aca="false">IF(Eingaben!$B$21="","",'Steuer &amp; AfA'!L83)</f>
        <v/>
      </c>
      <c r="M83" s="42" t="str">
        <f aca="false">IF(Eingaben!$B$21="","",E83+L83-I83-K83)</f>
        <v/>
      </c>
      <c r="N83" s="41" t="str">
        <f aca="false">IF(Eingaben!$B$21="","",M83/12)</f>
        <v/>
      </c>
      <c r="O83" s="21" t="str">
        <f aca="false">IF(Eingaben!$B$21="","",Eingaben!$AF$21)</f>
        <v/>
      </c>
      <c r="P83" s="20" t="str">
        <f aca="false">IF(Eingaben!$B$21="","",Eingaben!$AE$21)</f>
        <v/>
      </c>
    </row>
    <row r="84" customFormat="false" ht="15" hidden="false" customHeight="false" outlineLevel="0" collapsed="false">
      <c r="A84" s="35" t="n">
        <v>8</v>
      </c>
      <c r="B84" s="29" t="str">
        <f aca="false">IF(Eingaben!$B$21="","",Eingaben!$B$21)</f>
        <v/>
      </c>
      <c r="C84" s="35" t="n">
        <v>10</v>
      </c>
      <c r="D84" s="36" t="str">
        <f aca="false">IF(Eingaben!$B$21="","",J83)</f>
        <v/>
      </c>
      <c r="E84" s="36" t="str">
        <f aca="false">IF(Eingaben!$B$21="","",Eingaben!$AC$21*12*(1+Eingaben!$K$21)^(10-1))</f>
        <v/>
      </c>
      <c r="F84" s="41" t="str">
        <f aca="false">IF(Eingaben!$B$21="","",E84/12)</f>
        <v/>
      </c>
      <c r="G84" s="36" t="str">
        <f aca="false">IF(Eingaben!$B$21="","",I84-H84)</f>
        <v/>
      </c>
      <c r="H84" s="36" t="str">
        <f aca="false">IF(Eingaben!$B$21="","",D84-J84)</f>
        <v/>
      </c>
      <c r="I84" s="36" t="str">
        <f aca="false">IF(Eingaben!$B$21="","",P84*12)</f>
        <v/>
      </c>
      <c r="J84" s="36" t="str">
        <f aca="false">IF(Eingaben!$B$21="","",IF(O84=0,MAX(0,D84-P84*12),MAX(0,D84*(1+O84)^12-P84*((1+O84)^12-1)/O84)))</f>
        <v/>
      </c>
      <c r="K84" s="36" t="str">
        <f aca="false">IF(Eingaben!$B$21="","",Eingaben!$M$21)</f>
        <v/>
      </c>
      <c r="L84" s="30" t="str">
        <f aca="false">IF(Eingaben!$B$21="","",'Steuer &amp; AfA'!L84)</f>
        <v/>
      </c>
      <c r="M84" s="42" t="str">
        <f aca="false">IF(Eingaben!$B$21="","",E84+L84-I84-K84)</f>
        <v/>
      </c>
      <c r="N84" s="41" t="str">
        <f aca="false">IF(Eingaben!$B$21="","",M84/12)</f>
        <v/>
      </c>
      <c r="O84" s="21" t="str">
        <f aca="false">IF(Eingaben!$B$21="","",Eingaben!$AF$21)</f>
        <v/>
      </c>
      <c r="P84" s="20" t="str">
        <f aca="false">IF(Eingaben!$B$21="","",Eingaben!$AE$21)</f>
        <v/>
      </c>
    </row>
    <row r="85" customFormat="false" ht="15" hidden="false" customHeight="false" outlineLevel="0" collapsed="false">
      <c r="A85" s="28" t="n">
        <v>9</v>
      </c>
      <c r="B85" s="29" t="str">
        <f aca="false">IF(Eingaben!$B$22="","",Eingaben!$B$22)</f>
        <v/>
      </c>
      <c r="C85" s="28" t="n">
        <v>1</v>
      </c>
      <c r="D85" s="31" t="str">
        <f aca="false">IF(Eingaben!$B$22="","",Eingaben!$AB$22)</f>
        <v/>
      </c>
      <c r="E85" s="31" t="str">
        <f aca="false">IF(Eingaben!$B$22="","",Eingaben!$AC$22*12*(1+Eingaben!$K$22)^(1-1))</f>
        <v/>
      </c>
      <c r="F85" s="39" t="str">
        <f aca="false">IF(Eingaben!$B$22="","",E85/12)</f>
        <v/>
      </c>
      <c r="G85" s="31" t="str">
        <f aca="false">IF(Eingaben!$B$22="","",I85-H85)</f>
        <v/>
      </c>
      <c r="H85" s="31" t="str">
        <f aca="false">IF(Eingaben!$B$22="","",D85-J85)</f>
        <v/>
      </c>
      <c r="I85" s="31" t="str">
        <f aca="false">IF(Eingaben!$B$22="","",P85*12)</f>
        <v/>
      </c>
      <c r="J85" s="31" t="str">
        <f aca="false">IF(Eingaben!$B$22="","",IF(O85=0,MAX(0,D85-P85*12),MAX(0,D85*(1+O85)^12-P85*((1+O85)^12-1)/O85)))</f>
        <v/>
      </c>
      <c r="K85" s="31" t="str">
        <f aca="false">IF(Eingaben!$B$22="","",Eingaben!$M$22)</f>
        <v/>
      </c>
      <c r="L85" s="30" t="str">
        <f aca="false">IF(Eingaben!$B$22="","",'Steuer &amp; AfA'!L85)</f>
        <v/>
      </c>
      <c r="M85" s="40" t="str">
        <f aca="false">IF(Eingaben!$B$22="","",E85+L85-I85-K85)</f>
        <v/>
      </c>
      <c r="N85" s="39" t="str">
        <f aca="false">IF(Eingaben!$B$22="","",M85/12)</f>
        <v/>
      </c>
      <c r="O85" s="21" t="str">
        <f aca="false">IF(Eingaben!$B$22="","",Eingaben!$AF$22)</f>
        <v/>
      </c>
      <c r="P85" s="20" t="str">
        <f aca="false">IF(Eingaben!$B$22="","",Eingaben!$AE$22)</f>
        <v/>
      </c>
    </row>
    <row r="86" customFormat="false" ht="15" hidden="false" customHeight="false" outlineLevel="0" collapsed="false">
      <c r="A86" s="28" t="n">
        <v>9</v>
      </c>
      <c r="B86" s="29" t="str">
        <f aca="false">IF(Eingaben!$B$22="","",Eingaben!$B$22)</f>
        <v/>
      </c>
      <c r="C86" s="28" t="n">
        <v>2</v>
      </c>
      <c r="D86" s="31" t="str">
        <f aca="false">IF(Eingaben!$B$22="","",J85)</f>
        <v/>
      </c>
      <c r="E86" s="31" t="str">
        <f aca="false">IF(Eingaben!$B$22="","",Eingaben!$AC$22*12*(1+Eingaben!$K$22)^(2-1))</f>
        <v/>
      </c>
      <c r="F86" s="39" t="str">
        <f aca="false">IF(Eingaben!$B$22="","",E86/12)</f>
        <v/>
      </c>
      <c r="G86" s="31" t="str">
        <f aca="false">IF(Eingaben!$B$22="","",I86-H86)</f>
        <v/>
      </c>
      <c r="H86" s="31" t="str">
        <f aca="false">IF(Eingaben!$B$22="","",D86-J86)</f>
        <v/>
      </c>
      <c r="I86" s="31" t="str">
        <f aca="false">IF(Eingaben!$B$22="","",P86*12)</f>
        <v/>
      </c>
      <c r="J86" s="31" t="str">
        <f aca="false">IF(Eingaben!$B$22="","",IF(O86=0,MAX(0,D86-P86*12),MAX(0,D86*(1+O86)^12-P86*((1+O86)^12-1)/O86)))</f>
        <v/>
      </c>
      <c r="K86" s="31" t="str">
        <f aca="false">IF(Eingaben!$B$22="","",Eingaben!$M$22)</f>
        <v/>
      </c>
      <c r="L86" s="30" t="str">
        <f aca="false">IF(Eingaben!$B$22="","",'Steuer &amp; AfA'!L86)</f>
        <v/>
      </c>
      <c r="M86" s="40" t="str">
        <f aca="false">IF(Eingaben!$B$22="","",E86+L86-I86-K86)</f>
        <v/>
      </c>
      <c r="N86" s="39" t="str">
        <f aca="false">IF(Eingaben!$B$22="","",M86/12)</f>
        <v/>
      </c>
      <c r="O86" s="21" t="str">
        <f aca="false">IF(Eingaben!$B$22="","",Eingaben!$AF$22)</f>
        <v/>
      </c>
      <c r="P86" s="20" t="str">
        <f aca="false">IF(Eingaben!$B$22="","",Eingaben!$AE$22)</f>
        <v/>
      </c>
    </row>
    <row r="87" customFormat="false" ht="15" hidden="false" customHeight="false" outlineLevel="0" collapsed="false">
      <c r="A87" s="28" t="n">
        <v>9</v>
      </c>
      <c r="B87" s="29" t="str">
        <f aca="false">IF(Eingaben!$B$22="","",Eingaben!$B$22)</f>
        <v/>
      </c>
      <c r="C87" s="28" t="n">
        <v>3</v>
      </c>
      <c r="D87" s="31" t="str">
        <f aca="false">IF(Eingaben!$B$22="","",J86)</f>
        <v/>
      </c>
      <c r="E87" s="31" t="str">
        <f aca="false">IF(Eingaben!$B$22="","",Eingaben!$AC$22*12*(1+Eingaben!$K$22)^(3-1))</f>
        <v/>
      </c>
      <c r="F87" s="39" t="str">
        <f aca="false">IF(Eingaben!$B$22="","",E87/12)</f>
        <v/>
      </c>
      <c r="G87" s="31" t="str">
        <f aca="false">IF(Eingaben!$B$22="","",I87-H87)</f>
        <v/>
      </c>
      <c r="H87" s="31" t="str">
        <f aca="false">IF(Eingaben!$B$22="","",D87-J87)</f>
        <v/>
      </c>
      <c r="I87" s="31" t="str">
        <f aca="false">IF(Eingaben!$B$22="","",P87*12)</f>
        <v/>
      </c>
      <c r="J87" s="31" t="str">
        <f aca="false">IF(Eingaben!$B$22="","",IF(O87=0,MAX(0,D87-P87*12),MAX(0,D87*(1+O87)^12-P87*((1+O87)^12-1)/O87)))</f>
        <v/>
      </c>
      <c r="K87" s="31" t="str">
        <f aca="false">IF(Eingaben!$B$22="","",Eingaben!$M$22)</f>
        <v/>
      </c>
      <c r="L87" s="30" t="str">
        <f aca="false">IF(Eingaben!$B$22="","",'Steuer &amp; AfA'!L87)</f>
        <v/>
      </c>
      <c r="M87" s="40" t="str">
        <f aca="false">IF(Eingaben!$B$22="","",E87+L87-I87-K87)</f>
        <v/>
      </c>
      <c r="N87" s="39" t="str">
        <f aca="false">IF(Eingaben!$B$22="","",M87/12)</f>
        <v/>
      </c>
      <c r="O87" s="21" t="str">
        <f aca="false">IF(Eingaben!$B$22="","",Eingaben!$AF$22)</f>
        <v/>
      </c>
      <c r="P87" s="20" t="str">
        <f aca="false">IF(Eingaben!$B$22="","",Eingaben!$AE$22)</f>
        <v/>
      </c>
    </row>
    <row r="88" customFormat="false" ht="15" hidden="false" customHeight="false" outlineLevel="0" collapsed="false">
      <c r="A88" s="28" t="n">
        <v>9</v>
      </c>
      <c r="B88" s="29" t="str">
        <f aca="false">IF(Eingaben!$B$22="","",Eingaben!$B$22)</f>
        <v/>
      </c>
      <c r="C88" s="28" t="n">
        <v>4</v>
      </c>
      <c r="D88" s="31" t="str">
        <f aca="false">IF(Eingaben!$B$22="","",J87)</f>
        <v/>
      </c>
      <c r="E88" s="31" t="str">
        <f aca="false">IF(Eingaben!$B$22="","",Eingaben!$AC$22*12*(1+Eingaben!$K$22)^(4-1))</f>
        <v/>
      </c>
      <c r="F88" s="39" t="str">
        <f aca="false">IF(Eingaben!$B$22="","",E88/12)</f>
        <v/>
      </c>
      <c r="G88" s="31" t="str">
        <f aca="false">IF(Eingaben!$B$22="","",I88-H88)</f>
        <v/>
      </c>
      <c r="H88" s="31" t="str">
        <f aca="false">IF(Eingaben!$B$22="","",D88-J88)</f>
        <v/>
      </c>
      <c r="I88" s="31" t="str">
        <f aca="false">IF(Eingaben!$B$22="","",P88*12)</f>
        <v/>
      </c>
      <c r="J88" s="31" t="str">
        <f aca="false">IF(Eingaben!$B$22="","",IF(O88=0,MAX(0,D88-P88*12),MAX(0,D88*(1+O88)^12-P88*((1+O88)^12-1)/O88)))</f>
        <v/>
      </c>
      <c r="K88" s="31" t="str">
        <f aca="false">IF(Eingaben!$B$22="","",Eingaben!$M$22)</f>
        <v/>
      </c>
      <c r="L88" s="30" t="str">
        <f aca="false">IF(Eingaben!$B$22="","",'Steuer &amp; AfA'!L88)</f>
        <v/>
      </c>
      <c r="M88" s="40" t="str">
        <f aca="false">IF(Eingaben!$B$22="","",E88+L88-I88-K88)</f>
        <v/>
      </c>
      <c r="N88" s="39" t="str">
        <f aca="false">IF(Eingaben!$B$22="","",M88/12)</f>
        <v/>
      </c>
      <c r="O88" s="21" t="str">
        <f aca="false">IF(Eingaben!$B$22="","",Eingaben!$AF$22)</f>
        <v/>
      </c>
      <c r="P88" s="20" t="str">
        <f aca="false">IF(Eingaben!$B$22="","",Eingaben!$AE$22)</f>
        <v/>
      </c>
    </row>
    <row r="89" customFormat="false" ht="15" hidden="false" customHeight="false" outlineLevel="0" collapsed="false">
      <c r="A89" s="28" t="n">
        <v>9</v>
      </c>
      <c r="B89" s="29" t="str">
        <f aca="false">IF(Eingaben!$B$22="","",Eingaben!$B$22)</f>
        <v/>
      </c>
      <c r="C89" s="28" t="n">
        <v>5</v>
      </c>
      <c r="D89" s="31" t="str">
        <f aca="false">IF(Eingaben!$B$22="","",J88)</f>
        <v/>
      </c>
      <c r="E89" s="31" t="str">
        <f aca="false">IF(Eingaben!$B$22="","",Eingaben!$AC$22*12*(1+Eingaben!$K$22)^(5-1))</f>
        <v/>
      </c>
      <c r="F89" s="39" t="str">
        <f aca="false">IF(Eingaben!$B$22="","",E89/12)</f>
        <v/>
      </c>
      <c r="G89" s="31" t="str">
        <f aca="false">IF(Eingaben!$B$22="","",I89-H89)</f>
        <v/>
      </c>
      <c r="H89" s="31" t="str">
        <f aca="false">IF(Eingaben!$B$22="","",D89-J89)</f>
        <v/>
      </c>
      <c r="I89" s="31" t="str">
        <f aca="false">IF(Eingaben!$B$22="","",P89*12)</f>
        <v/>
      </c>
      <c r="J89" s="31" t="str">
        <f aca="false">IF(Eingaben!$B$22="","",IF(O89=0,MAX(0,D89-P89*12),MAX(0,D89*(1+O89)^12-P89*((1+O89)^12-1)/O89)))</f>
        <v/>
      </c>
      <c r="K89" s="31" t="str">
        <f aca="false">IF(Eingaben!$B$22="","",Eingaben!$M$22)</f>
        <v/>
      </c>
      <c r="L89" s="30" t="str">
        <f aca="false">IF(Eingaben!$B$22="","",'Steuer &amp; AfA'!L89)</f>
        <v/>
      </c>
      <c r="M89" s="40" t="str">
        <f aca="false">IF(Eingaben!$B$22="","",E89+L89-I89-K89)</f>
        <v/>
      </c>
      <c r="N89" s="39" t="str">
        <f aca="false">IF(Eingaben!$B$22="","",M89/12)</f>
        <v/>
      </c>
      <c r="O89" s="21" t="str">
        <f aca="false">IF(Eingaben!$B$22="","",Eingaben!$AF$22)</f>
        <v/>
      </c>
      <c r="P89" s="20" t="str">
        <f aca="false">IF(Eingaben!$B$22="","",Eingaben!$AE$22)</f>
        <v/>
      </c>
    </row>
    <row r="90" customFormat="false" ht="15" hidden="false" customHeight="false" outlineLevel="0" collapsed="false">
      <c r="A90" s="28" t="n">
        <v>9</v>
      </c>
      <c r="B90" s="29" t="str">
        <f aca="false">IF(Eingaben!$B$22="","",Eingaben!$B$22)</f>
        <v/>
      </c>
      <c r="C90" s="28" t="n">
        <v>6</v>
      </c>
      <c r="D90" s="31" t="str">
        <f aca="false">IF(Eingaben!$B$22="","",J89)</f>
        <v/>
      </c>
      <c r="E90" s="31" t="str">
        <f aca="false">IF(Eingaben!$B$22="","",Eingaben!$AC$22*12*(1+Eingaben!$K$22)^(6-1))</f>
        <v/>
      </c>
      <c r="F90" s="39" t="str">
        <f aca="false">IF(Eingaben!$B$22="","",E90/12)</f>
        <v/>
      </c>
      <c r="G90" s="31" t="str">
        <f aca="false">IF(Eingaben!$B$22="","",I90-H90)</f>
        <v/>
      </c>
      <c r="H90" s="31" t="str">
        <f aca="false">IF(Eingaben!$B$22="","",D90-J90)</f>
        <v/>
      </c>
      <c r="I90" s="31" t="str">
        <f aca="false">IF(Eingaben!$B$22="","",P90*12)</f>
        <v/>
      </c>
      <c r="J90" s="31" t="str">
        <f aca="false">IF(Eingaben!$B$22="","",IF(O90=0,MAX(0,D90-P90*12),MAX(0,D90*(1+O90)^12-P90*((1+O90)^12-1)/O90)))</f>
        <v/>
      </c>
      <c r="K90" s="31" t="str">
        <f aca="false">IF(Eingaben!$B$22="","",Eingaben!$M$22)</f>
        <v/>
      </c>
      <c r="L90" s="30" t="str">
        <f aca="false">IF(Eingaben!$B$22="","",'Steuer &amp; AfA'!L90)</f>
        <v/>
      </c>
      <c r="M90" s="40" t="str">
        <f aca="false">IF(Eingaben!$B$22="","",E90+L90-I90-K90)</f>
        <v/>
      </c>
      <c r="N90" s="39" t="str">
        <f aca="false">IF(Eingaben!$B$22="","",M90/12)</f>
        <v/>
      </c>
      <c r="O90" s="21" t="str">
        <f aca="false">IF(Eingaben!$B$22="","",Eingaben!$AF$22)</f>
        <v/>
      </c>
      <c r="P90" s="20" t="str">
        <f aca="false">IF(Eingaben!$B$22="","",Eingaben!$AE$22)</f>
        <v/>
      </c>
    </row>
    <row r="91" customFormat="false" ht="15" hidden="false" customHeight="false" outlineLevel="0" collapsed="false">
      <c r="A91" s="28" t="n">
        <v>9</v>
      </c>
      <c r="B91" s="29" t="str">
        <f aca="false">IF(Eingaben!$B$22="","",Eingaben!$B$22)</f>
        <v/>
      </c>
      <c r="C91" s="28" t="n">
        <v>7</v>
      </c>
      <c r="D91" s="31" t="str">
        <f aca="false">IF(Eingaben!$B$22="","",J90)</f>
        <v/>
      </c>
      <c r="E91" s="31" t="str">
        <f aca="false">IF(Eingaben!$B$22="","",Eingaben!$AC$22*12*(1+Eingaben!$K$22)^(7-1))</f>
        <v/>
      </c>
      <c r="F91" s="39" t="str">
        <f aca="false">IF(Eingaben!$B$22="","",E91/12)</f>
        <v/>
      </c>
      <c r="G91" s="31" t="str">
        <f aca="false">IF(Eingaben!$B$22="","",I91-H91)</f>
        <v/>
      </c>
      <c r="H91" s="31" t="str">
        <f aca="false">IF(Eingaben!$B$22="","",D91-J91)</f>
        <v/>
      </c>
      <c r="I91" s="31" t="str">
        <f aca="false">IF(Eingaben!$B$22="","",P91*12)</f>
        <v/>
      </c>
      <c r="J91" s="31" t="str">
        <f aca="false">IF(Eingaben!$B$22="","",IF(O91=0,MAX(0,D91-P91*12),MAX(0,D91*(1+O91)^12-P91*((1+O91)^12-1)/O91)))</f>
        <v/>
      </c>
      <c r="K91" s="31" t="str">
        <f aca="false">IF(Eingaben!$B$22="","",Eingaben!$M$22)</f>
        <v/>
      </c>
      <c r="L91" s="30" t="str">
        <f aca="false">IF(Eingaben!$B$22="","",'Steuer &amp; AfA'!L91)</f>
        <v/>
      </c>
      <c r="M91" s="40" t="str">
        <f aca="false">IF(Eingaben!$B$22="","",E91+L91-I91-K91)</f>
        <v/>
      </c>
      <c r="N91" s="39" t="str">
        <f aca="false">IF(Eingaben!$B$22="","",M91/12)</f>
        <v/>
      </c>
      <c r="O91" s="21" t="str">
        <f aca="false">IF(Eingaben!$B$22="","",Eingaben!$AF$22)</f>
        <v/>
      </c>
      <c r="P91" s="20" t="str">
        <f aca="false">IF(Eingaben!$B$22="","",Eingaben!$AE$22)</f>
        <v/>
      </c>
    </row>
    <row r="92" customFormat="false" ht="15" hidden="false" customHeight="false" outlineLevel="0" collapsed="false">
      <c r="A92" s="28" t="n">
        <v>9</v>
      </c>
      <c r="B92" s="29" t="str">
        <f aca="false">IF(Eingaben!$B$22="","",Eingaben!$B$22)</f>
        <v/>
      </c>
      <c r="C92" s="28" t="n">
        <v>8</v>
      </c>
      <c r="D92" s="31" t="str">
        <f aca="false">IF(Eingaben!$B$22="","",J91)</f>
        <v/>
      </c>
      <c r="E92" s="31" t="str">
        <f aca="false">IF(Eingaben!$B$22="","",Eingaben!$AC$22*12*(1+Eingaben!$K$22)^(8-1))</f>
        <v/>
      </c>
      <c r="F92" s="39" t="str">
        <f aca="false">IF(Eingaben!$B$22="","",E92/12)</f>
        <v/>
      </c>
      <c r="G92" s="31" t="str">
        <f aca="false">IF(Eingaben!$B$22="","",I92-H92)</f>
        <v/>
      </c>
      <c r="H92" s="31" t="str">
        <f aca="false">IF(Eingaben!$B$22="","",D92-J92)</f>
        <v/>
      </c>
      <c r="I92" s="31" t="str">
        <f aca="false">IF(Eingaben!$B$22="","",P92*12)</f>
        <v/>
      </c>
      <c r="J92" s="31" t="str">
        <f aca="false">IF(Eingaben!$B$22="","",IF(O92=0,MAX(0,D92-P92*12),MAX(0,D92*(1+O92)^12-P92*((1+O92)^12-1)/O92)))</f>
        <v/>
      </c>
      <c r="K92" s="31" t="str">
        <f aca="false">IF(Eingaben!$B$22="","",Eingaben!$M$22)</f>
        <v/>
      </c>
      <c r="L92" s="30" t="str">
        <f aca="false">IF(Eingaben!$B$22="","",'Steuer &amp; AfA'!L92)</f>
        <v/>
      </c>
      <c r="M92" s="40" t="str">
        <f aca="false">IF(Eingaben!$B$22="","",E92+L92-I92-K92)</f>
        <v/>
      </c>
      <c r="N92" s="39" t="str">
        <f aca="false">IF(Eingaben!$B$22="","",M92/12)</f>
        <v/>
      </c>
      <c r="O92" s="21" t="str">
        <f aca="false">IF(Eingaben!$B$22="","",Eingaben!$AF$22)</f>
        <v/>
      </c>
      <c r="P92" s="20" t="str">
        <f aca="false">IF(Eingaben!$B$22="","",Eingaben!$AE$22)</f>
        <v/>
      </c>
    </row>
    <row r="93" customFormat="false" ht="15" hidden="false" customHeight="false" outlineLevel="0" collapsed="false">
      <c r="A93" s="28" t="n">
        <v>9</v>
      </c>
      <c r="B93" s="29" t="str">
        <f aca="false">IF(Eingaben!$B$22="","",Eingaben!$B$22)</f>
        <v/>
      </c>
      <c r="C93" s="28" t="n">
        <v>9</v>
      </c>
      <c r="D93" s="31" t="str">
        <f aca="false">IF(Eingaben!$B$22="","",J92)</f>
        <v/>
      </c>
      <c r="E93" s="31" t="str">
        <f aca="false">IF(Eingaben!$B$22="","",Eingaben!$AC$22*12*(1+Eingaben!$K$22)^(9-1))</f>
        <v/>
      </c>
      <c r="F93" s="39" t="str">
        <f aca="false">IF(Eingaben!$B$22="","",E93/12)</f>
        <v/>
      </c>
      <c r="G93" s="31" t="str">
        <f aca="false">IF(Eingaben!$B$22="","",I93-H93)</f>
        <v/>
      </c>
      <c r="H93" s="31" t="str">
        <f aca="false">IF(Eingaben!$B$22="","",D93-J93)</f>
        <v/>
      </c>
      <c r="I93" s="31" t="str">
        <f aca="false">IF(Eingaben!$B$22="","",P93*12)</f>
        <v/>
      </c>
      <c r="J93" s="31" t="str">
        <f aca="false">IF(Eingaben!$B$22="","",IF(O93=0,MAX(0,D93-P93*12),MAX(0,D93*(1+O93)^12-P93*((1+O93)^12-1)/O93)))</f>
        <v/>
      </c>
      <c r="K93" s="31" t="str">
        <f aca="false">IF(Eingaben!$B$22="","",Eingaben!$M$22)</f>
        <v/>
      </c>
      <c r="L93" s="30" t="str">
        <f aca="false">IF(Eingaben!$B$22="","",'Steuer &amp; AfA'!L93)</f>
        <v/>
      </c>
      <c r="M93" s="40" t="str">
        <f aca="false">IF(Eingaben!$B$22="","",E93+L93-I93-K93)</f>
        <v/>
      </c>
      <c r="N93" s="39" t="str">
        <f aca="false">IF(Eingaben!$B$22="","",M93/12)</f>
        <v/>
      </c>
      <c r="O93" s="21" t="str">
        <f aca="false">IF(Eingaben!$B$22="","",Eingaben!$AF$22)</f>
        <v/>
      </c>
      <c r="P93" s="20" t="str">
        <f aca="false">IF(Eingaben!$B$22="","",Eingaben!$AE$22)</f>
        <v/>
      </c>
    </row>
    <row r="94" customFormat="false" ht="15" hidden="false" customHeight="false" outlineLevel="0" collapsed="false">
      <c r="A94" s="28" t="n">
        <v>9</v>
      </c>
      <c r="B94" s="29" t="str">
        <f aca="false">IF(Eingaben!$B$22="","",Eingaben!$B$22)</f>
        <v/>
      </c>
      <c r="C94" s="28" t="n">
        <v>10</v>
      </c>
      <c r="D94" s="31" t="str">
        <f aca="false">IF(Eingaben!$B$22="","",J93)</f>
        <v/>
      </c>
      <c r="E94" s="31" t="str">
        <f aca="false">IF(Eingaben!$B$22="","",Eingaben!$AC$22*12*(1+Eingaben!$K$22)^(10-1))</f>
        <v/>
      </c>
      <c r="F94" s="39" t="str">
        <f aca="false">IF(Eingaben!$B$22="","",E94/12)</f>
        <v/>
      </c>
      <c r="G94" s="31" t="str">
        <f aca="false">IF(Eingaben!$B$22="","",I94-H94)</f>
        <v/>
      </c>
      <c r="H94" s="31" t="str">
        <f aca="false">IF(Eingaben!$B$22="","",D94-J94)</f>
        <v/>
      </c>
      <c r="I94" s="31" t="str">
        <f aca="false">IF(Eingaben!$B$22="","",P94*12)</f>
        <v/>
      </c>
      <c r="J94" s="31" t="str">
        <f aca="false">IF(Eingaben!$B$22="","",IF(O94=0,MAX(0,D94-P94*12),MAX(0,D94*(1+O94)^12-P94*((1+O94)^12-1)/O94)))</f>
        <v/>
      </c>
      <c r="K94" s="31" t="str">
        <f aca="false">IF(Eingaben!$B$22="","",Eingaben!$M$22)</f>
        <v/>
      </c>
      <c r="L94" s="30" t="str">
        <f aca="false">IF(Eingaben!$B$22="","",'Steuer &amp; AfA'!L94)</f>
        <v/>
      </c>
      <c r="M94" s="40" t="str">
        <f aca="false">IF(Eingaben!$B$22="","",E94+L94-I94-K94)</f>
        <v/>
      </c>
      <c r="N94" s="39" t="str">
        <f aca="false">IF(Eingaben!$B$22="","",M94/12)</f>
        <v/>
      </c>
      <c r="O94" s="21" t="str">
        <f aca="false">IF(Eingaben!$B$22="","",Eingaben!$AF$22)</f>
        <v/>
      </c>
      <c r="P94" s="20" t="str">
        <f aca="false">IF(Eingaben!$B$22="","",Eingaben!$AE$22)</f>
        <v/>
      </c>
    </row>
    <row r="95" customFormat="false" ht="15" hidden="false" customHeight="false" outlineLevel="0" collapsed="false">
      <c r="A95" s="35" t="n">
        <v>10</v>
      </c>
      <c r="B95" s="29" t="str">
        <f aca="false">IF(Eingaben!$B$23="","",Eingaben!$B$23)</f>
        <v/>
      </c>
      <c r="C95" s="35" t="n">
        <v>1</v>
      </c>
      <c r="D95" s="36" t="str">
        <f aca="false">IF(Eingaben!$B$23="","",Eingaben!$AB$23)</f>
        <v/>
      </c>
      <c r="E95" s="36" t="str">
        <f aca="false">IF(Eingaben!$B$23="","",Eingaben!$AC$23*12*(1+Eingaben!$K$23)^(1-1))</f>
        <v/>
      </c>
      <c r="F95" s="41" t="str">
        <f aca="false">IF(Eingaben!$B$23="","",E95/12)</f>
        <v/>
      </c>
      <c r="G95" s="36" t="str">
        <f aca="false">IF(Eingaben!$B$23="","",I95-H95)</f>
        <v/>
      </c>
      <c r="H95" s="36" t="str">
        <f aca="false">IF(Eingaben!$B$23="","",D95-J95)</f>
        <v/>
      </c>
      <c r="I95" s="36" t="str">
        <f aca="false">IF(Eingaben!$B$23="","",P95*12)</f>
        <v/>
      </c>
      <c r="J95" s="36" t="str">
        <f aca="false">IF(Eingaben!$B$23="","",IF(O95=0,MAX(0,D95-P95*12),MAX(0,D95*(1+O95)^12-P95*((1+O95)^12-1)/O95)))</f>
        <v/>
      </c>
      <c r="K95" s="36" t="str">
        <f aca="false">IF(Eingaben!$B$23="","",Eingaben!$M$23)</f>
        <v/>
      </c>
      <c r="L95" s="30" t="str">
        <f aca="false">IF(Eingaben!$B$23="","",'Steuer &amp; AfA'!L95)</f>
        <v/>
      </c>
      <c r="M95" s="42" t="str">
        <f aca="false">IF(Eingaben!$B$23="","",E95+L95-I95-K95)</f>
        <v/>
      </c>
      <c r="N95" s="41" t="str">
        <f aca="false">IF(Eingaben!$B$23="","",M95/12)</f>
        <v/>
      </c>
      <c r="O95" s="21" t="str">
        <f aca="false">IF(Eingaben!$B$23="","",Eingaben!$AF$23)</f>
        <v/>
      </c>
      <c r="P95" s="20" t="str">
        <f aca="false">IF(Eingaben!$B$23="","",Eingaben!$AE$23)</f>
        <v/>
      </c>
    </row>
    <row r="96" customFormat="false" ht="15" hidden="false" customHeight="false" outlineLevel="0" collapsed="false">
      <c r="A96" s="35" t="n">
        <v>10</v>
      </c>
      <c r="B96" s="29" t="str">
        <f aca="false">IF(Eingaben!$B$23="","",Eingaben!$B$23)</f>
        <v/>
      </c>
      <c r="C96" s="35" t="n">
        <v>2</v>
      </c>
      <c r="D96" s="36" t="str">
        <f aca="false">IF(Eingaben!$B$23="","",J95)</f>
        <v/>
      </c>
      <c r="E96" s="36" t="str">
        <f aca="false">IF(Eingaben!$B$23="","",Eingaben!$AC$23*12*(1+Eingaben!$K$23)^(2-1))</f>
        <v/>
      </c>
      <c r="F96" s="41" t="str">
        <f aca="false">IF(Eingaben!$B$23="","",E96/12)</f>
        <v/>
      </c>
      <c r="G96" s="36" t="str">
        <f aca="false">IF(Eingaben!$B$23="","",I96-H96)</f>
        <v/>
      </c>
      <c r="H96" s="36" t="str">
        <f aca="false">IF(Eingaben!$B$23="","",D96-J96)</f>
        <v/>
      </c>
      <c r="I96" s="36" t="str">
        <f aca="false">IF(Eingaben!$B$23="","",P96*12)</f>
        <v/>
      </c>
      <c r="J96" s="36" t="str">
        <f aca="false">IF(Eingaben!$B$23="","",IF(O96=0,MAX(0,D96-P96*12),MAX(0,D96*(1+O96)^12-P96*((1+O96)^12-1)/O96)))</f>
        <v/>
      </c>
      <c r="K96" s="36" t="str">
        <f aca="false">IF(Eingaben!$B$23="","",Eingaben!$M$23)</f>
        <v/>
      </c>
      <c r="L96" s="30" t="str">
        <f aca="false">IF(Eingaben!$B$23="","",'Steuer &amp; AfA'!L96)</f>
        <v/>
      </c>
      <c r="M96" s="42" t="str">
        <f aca="false">IF(Eingaben!$B$23="","",E96+L96-I96-K96)</f>
        <v/>
      </c>
      <c r="N96" s="41" t="str">
        <f aca="false">IF(Eingaben!$B$23="","",M96/12)</f>
        <v/>
      </c>
      <c r="O96" s="21" t="str">
        <f aca="false">IF(Eingaben!$B$23="","",Eingaben!$AF$23)</f>
        <v/>
      </c>
      <c r="P96" s="20" t="str">
        <f aca="false">IF(Eingaben!$B$23="","",Eingaben!$AE$23)</f>
        <v/>
      </c>
    </row>
    <row r="97" customFormat="false" ht="15" hidden="false" customHeight="false" outlineLevel="0" collapsed="false">
      <c r="A97" s="35" t="n">
        <v>10</v>
      </c>
      <c r="B97" s="29" t="str">
        <f aca="false">IF(Eingaben!$B$23="","",Eingaben!$B$23)</f>
        <v/>
      </c>
      <c r="C97" s="35" t="n">
        <v>3</v>
      </c>
      <c r="D97" s="36" t="str">
        <f aca="false">IF(Eingaben!$B$23="","",J96)</f>
        <v/>
      </c>
      <c r="E97" s="36" t="str">
        <f aca="false">IF(Eingaben!$B$23="","",Eingaben!$AC$23*12*(1+Eingaben!$K$23)^(3-1))</f>
        <v/>
      </c>
      <c r="F97" s="41" t="str">
        <f aca="false">IF(Eingaben!$B$23="","",E97/12)</f>
        <v/>
      </c>
      <c r="G97" s="36" t="str">
        <f aca="false">IF(Eingaben!$B$23="","",I97-H97)</f>
        <v/>
      </c>
      <c r="H97" s="36" t="str">
        <f aca="false">IF(Eingaben!$B$23="","",D97-J97)</f>
        <v/>
      </c>
      <c r="I97" s="36" t="str">
        <f aca="false">IF(Eingaben!$B$23="","",P97*12)</f>
        <v/>
      </c>
      <c r="J97" s="36" t="str">
        <f aca="false">IF(Eingaben!$B$23="","",IF(O97=0,MAX(0,D97-P97*12),MAX(0,D97*(1+O97)^12-P97*((1+O97)^12-1)/O97)))</f>
        <v/>
      </c>
      <c r="K97" s="36" t="str">
        <f aca="false">IF(Eingaben!$B$23="","",Eingaben!$M$23)</f>
        <v/>
      </c>
      <c r="L97" s="30" t="str">
        <f aca="false">IF(Eingaben!$B$23="","",'Steuer &amp; AfA'!L97)</f>
        <v/>
      </c>
      <c r="M97" s="42" t="str">
        <f aca="false">IF(Eingaben!$B$23="","",E97+L97-I97-K97)</f>
        <v/>
      </c>
      <c r="N97" s="41" t="str">
        <f aca="false">IF(Eingaben!$B$23="","",M97/12)</f>
        <v/>
      </c>
      <c r="O97" s="21" t="str">
        <f aca="false">IF(Eingaben!$B$23="","",Eingaben!$AF$23)</f>
        <v/>
      </c>
      <c r="P97" s="20" t="str">
        <f aca="false">IF(Eingaben!$B$23="","",Eingaben!$AE$23)</f>
        <v/>
      </c>
    </row>
    <row r="98" customFormat="false" ht="15" hidden="false" customHeight="false" outlineLevel="0" collapsed="false">
      <c r="A98" s="35" t="n">
        <v>10</v>
      </c>
      <c r="B98" s="29" t="str">
        <f aca="false">IF(Eingaben!$B$23="","",Eingaben!$B$23)</f>
        <v/>
      </c>
      <c r="C98" s="35" t="n">
        <v>4</v>
      </c>
      <c r="D98" s="36" t="str">
        <f aca="false">IF(Eingaben!$B$23="","",J97)</f>
        <v/>
      </c>
      <c r="E98" s="36" t="str">
        <f aca="false">IF(Eingaben!$B$23="","",Eingaben!$AC$23*12*(1+Eingaben!$K$23)^(4-1))</f>
        <v/>
      </c>
      <c r="F98" s="41" t="str">
        <f aca="false">IF(Eingaben!$B$23="","",E98/12)</f>
        <v/>
      </c>
      <c r="G98" s="36" t="str">
        <f aca="false">IF(Eingaben!$B$23="","",I98-H98)</f>
        <v/>
      </c>
      <c r="H98" s="36" t="str">
        <f aca="false">IF(Eingaben!$B$23="","",D98-J98)</f>
        <v/>
      </c>
      <c r="I98" s="36" t="str">
        <f aca="false">IF(Eingaben!$B$23="","",P98*12)</f>
        <v/>
      </c>
      <c r="J98" s="36" t="str">
        <f aca="false">IF(Eingaben!$B$23="","",IF(O98=0,MAX(0,D98-P98*12),MAX(0,D98*(1+O98)^12-P98*((1+O98)^12-1)/O98)))</f>
        <v/>
      </c>
      <c r="K98" s="36" t="str">
        <f aca="false">IF(Eingaben!$B$23="","",Eingaben!$M$23)</f>
        <v/>
      </c>
      <c r="L98" s="30" t="str">
        <f aca="false">IF(Eingaben!$B$23="","",'Steuer &amp; AfA'!L98)</f>
        <v/>
      </c>
      <c r="M98" s="42" t="str">
        <f aca="false">IF(Eingaben!$B$23="","",E98+L98-I98-K98)</f>
        <v/>
      </c>
      <c r="N98" s="41" t="str">
        <f aca="false">IF(Eingaben!$B$23="","",M98/12)</f>
        <v/>
      </c>
      <c r="O98" s="21" t="str">
        <f aca="false">IF(Eingaben!$B$23="","",Eingaben!$AF$23)</f>
        <v/>
      </c>
      <c r="P98" s="20" t="str">
        <f aca="false">IF(Eingaben!$B$23="","",Eingaben!$AE$23)</f>
        <v/>
      </c>
    </row>
    <row r="99" customFormat="false" ht="15" hidden="false" customHeight="false" outlineLevel="0" collapsed="false">
      <c r="A99" s="35" t="n">
        <v>10</v>
      </c>
      <c r="B99" s="29" t="str">
        <f aca="false">IF(Eingaben!$B$23="","",Eingaben!$B$23)</f>
        <v/>
      </c>
      <c r="C99" s="35" t="n">
        <v>5</v>
      </c>
      <c r="D99" s="36" t="str">
        <f aca="false">IF(Eingaben!$B$23="","",J98)</f>
        <v/>
      </c>
      <c r="E99" s="36" t="str">
        <f aca="false">IF(Eingaben!$B$23="","",Eingaben!$AC$23*12*(1+Eingaben!$K$23)^(5-1))</f>
        <v/>
      </c>
      <c r="F99" s="41" t="str">
        <f aca="false">IF(Eingaben!$B$23="","",E99/12)</f>
        <v/>
      </c>
      <c r="G99" s="36" t="str">
        <f aca="false">IF(Eingaben!$B$23="","",I99-H99)</f>
        <v/>
      </c>
      <c r="H99" s="36" t="str">
        <f aca="false">IF(Eingaben!$B$23="","",D99-J99)</f>
        <v/>
      </c>
      <c r="I99" s="36" t="str">
        <f aca="false">IF(Eingaben!$B$23="","",P99*12)</f>
        <v/>
      </c>
      <c r="J99" s="36" t="str">
        <f aca="false">IF(Eingaben!$B$23="","",IF(O99=0,MAX(0,D99-P99*12),MAX(0,D99*(1+O99)^12-P99*((1+O99)^12-1)/O99)))</f>
        <v/>
      </c>
      <c r="K99" s="36" t="str">
        <f aca="false">IF(Eingaben!$B$23="","",Eingaben!$M$23)</f>
        <v/>
      </c>
      <c r="L99" s="30" t="str">
        <f aca="false">IF(Eingaben!$B$23="","",'Steuer &amp; AfA'!L99)</f>
        <v/>
      </c>
      <c r="M99" s="42" t="str">
        <f aca="false">IF(Eingaben!$B$23="","",E99+L99-I99-K99)</f>
        <v/>
      </c>
      <c r="N99" s="41" t="str">
        <f aca="false">IF(Eingaben!$B$23="","",M99/12)</f>
        <v/>
      </c>
      <c r="O99" s="21" t="str">
        <f aca="false">IF(Eingaben!$B$23="","",Eingaben!$AF$23)</f>
        <v/>
      </c>
      <c r="P99" s="20" t="str">
        <f aca="false">IF(Eingaben!$B$23="","",Eingaben!$AE$23)</f>
        <v/>
      </c>
    </row>
    <row r="100" customFormat="false" ht="15" hidden="false" customHeight="false" outlineLevel="0" collapsed="false">
      <c r="A100" s="35" t="n">
        <v>10</v>
      </c>
      <c r="B100" s="29" t="str">
        <f aca="false">IF(Eingaben!$B$23="","",Eingaben!$B$23)</f>
        <v/>
      </c>
      <c r="C100" s="35" t="n">
        <v>6</v>
      </c>
      <c r="D100" s="36" t="str">
        <f aca="false">IF(Eingaben!$B$23="","",J99)</f>
        <v/>
      </c>
      <c r="E100" s="36" t="str">
        <f aca="false">IF(Eingaben!$B$23="","",Eingaben!$AC$23*12*(1+Eingaben!$K$23)^(6-1))</f>
        <v/>
      </c>
      <c r="F100" s="41" t="str">
        <f aca="false">IF(Eingaben!$B$23="","",E100/12)</f>
        <v/>
      </c>
      <c r="G100" s="36" t="str">
        <f aca="false">IF(Eingaben!$B$23="","",I100-H100)</f>
        <v/>
      </c>
      <c r="H100" s="36" t="str">
        <f aca="false">IF(Eingaben!$B$23="","",D100-J100)</f>
        <v/>
      </c>
      <c r="I100" s="36" t="str">
        <f aca="false">IF(Eingaben!$B$23="","",P100*12)</f>
        <v/>
      </c>
      <c r="J100" s="36" t="str">
        <f aca="false">IF(Eingaben!$B$23="","",IF(O100=0,MAX(0,D100-P100*12),MAX(0,D100*(1+O100)^12-P100*((1+O100)^12-1)/O100)))</f>
        <v/>
      </c>
      <c r="K100" s="36" t="str">
        <f aca="false">IF(Eingaben!$B$23="","",Eingaben!$M$23)</f>
        <v/>
      </c>
      <c r="L100" s="30" t="str">
        <f aca="false">IF(Eingaben!$B$23="","",'Steuer &amp; AfA'!L100)</f>
        <v/>
      </c>
      <c r="M100" s="42" t="str">
        <f aca="false">IF(Eingaben!$B$23="","",E100+L100-I100-K100)</f>
        <v/>
      </c>
      <c r="N100" s="41" t="str">
        <f aca="false">IF(Eingaben!$B$23="","",M100/12)</f>
        <v/>
      </c>
      <c r="O100" s="21" t="str">
        <f aca="false">IF(Eingaben!$B$23="","",Eingaben!$AF$23)</f>
        <v/>
      </c>
      <c r="P100" s="20" t="str">
        <f aca="false">IF(Eingaben!$B$23="","",Eingaben!$AE$23)</f>
        <v/>
      </c>
    </row>
    <row r="101" customFormat="false" ht="15" hidden="false" customHeight="false" outlineLevel="0" collapsed="false">
      <c r="A101" s="35" t="n">
        <v>10</v>
      </c>
      <c r="B101" s="29" t="str">
        <f aca="false">IF(Eingaben!$B$23="","",Eingaben!$B$23)</f>
        <v/>
      </c>
      <c r="C101" s="35" t="n">
        <v>7</v>
      </c>
      <c r="D101" s="36" t="str">
        <f aca="false">IF(Eingaben!$B$23="","",J100)</f>
        <v/>
      </c>
      <c r="E101" s="36" t="str">
        <f aca="false">IF(Eingaben!$B$23="","",Eingaben!$AC$23*12*(1+Eingaben!$K$23)^(7-1))</f>
        <v/>
      </c>
      <c r="F101" s="41" t="str">
        <f aca="false">IF(Eingaben!$B$23="","",E101/12)</f>
        <v/>
      </c>
      <c r="G101" s="36" t="str">
        <f aca="false">IF(Eingaben!$B$23="","",I101-H101)</f>
        <v/>
      </c>
      <c r="H101" s="36" t="str">
        <f aca="false">IF(Eingaben!$B$23="","",D101-J101)</f>
        <v/>
      </c>
      <c r="I101" s="36" t="str">
        <f aca="false">IF(Eingaben!$B$23="","",P101*12)</f>
        <v/>
      </c>
      <c r="J101" s="36" t="str">
        <f aca="false">IF(Eingaben!$B$23="","",IF(O101=0,MAX(0,D101-P101*12),MAX(0,D101*(1+O101)^12-P101*((1+O101)^12-1)/O101)))</f>
        <v/>
      </c>
      <c r="K101" s="36" t="str">
        <f aca="false">IF(Eingaben!$B$23="","",Eingaben!$M$23)</f>
        <v/>
      </c>
      <c r="L101" s="30" t="str">
        <f aca="false">IF(Eingaben!$B$23="","",'Steuer &amp; AfA'!L101)</f>
        <v/>
      </c>
      <c r="M101" s="42" t="str">
        <f aca="false">IF(Eingaben!$B$23="","",E101+L101-I101-K101)</f>
        <v/>
      </c>
      <c r="N101" s="41" t="str">
        <f aca="false">IF(Eingaben!$B$23="","",M101/12)</f>
        <v/>
      </c>
      <c r="O101" s="21" t="str">
        <f aca="false">IF(Eingaben!$B$23="","",Eingaben!$AF$23)</f>
        <v/>
      </c>
      <c r="P101" s="20" t="str">
        <f aca="false">IF(Eingaben!$B$23="","",Eingaben!$AE$23)</f>
        <v/>
      </c>
    </row>
    <row r="102" customFormat="false" ht="15" hidden="false" customHeight="false" outlineLevel="0" collapsed="false">
      <c r="A102" s="35" t="n">
        <v>10</v>
      </c>
      <c r="B102" s="29" t="str">
        <f aca="false">IF(Eingaben!$B$23="","",Eingaben!$B$23)</f>
        <v/>
      </c>
      <c r="C102" s="35" t="n">
        <v>8</v>
      </c>
      <c r="D102" s="36" t="str">
        <f aca="false">IF(Eingaben!$B$23="","",J101)</f>
        <v/>
      </c>
      <c r="E102" s="36" t="str">
        <f aca="false">IF(Eingaben!$B$23="","",Eingaben!$AC$23*12*(1+Eingaben!$K$23)^(8-1))</f>
        <v/>
      </c>
      <c r="F102" s="41" t="str">
        <f aca="false">IF(Eingaben!$B$23="","",E102/12)</f>
        <v/>
      </c>
      <c r="G102" s="36" t="str">
        <f aca="false">IF(Eingaben!$B$23="","",I102-H102)</f>
        <v/>
      </c>
      <c r="H102" s="36" t="str">
        <f aca="false">IF(Eingaben!$B$23="","",D102-J102)</f>
        <v/>
      </c>
      <c r="I102" s="36" t="str">
        <f aca="false">IF(Eingaben!$B$23="","",P102*12)</f>
        <v/>
      </c>
      <c r="J102" s="36" t="str">
        <f aca="false">IF(Eingaben!$B$23="","",IF(O102=0,MAX(0,D102-P102*12),MAX(0,D102*(1+O102)^12-P102*((1+O102)^12-1)/O102)))</f>
        <v/>
      </c>
      <c r="K102" s="36" t="str">
        <f aca="false">IF(Eingaben!$B$23="","",Eingaben!$M$23)</f>
        <v/>
      </c>
      <c r="L102" s="30" t="str">
        <f aca="false">IF(Eingaben!$B$23="","",'Steuer &amp; AfA'!L102)</f>
        <v/>
      </c>
      <c r="M102" s="42" t="str">
        <f aca="false">IF(Eingaben!$B$23="","",E102+L102-I102-K102)</f>
        <v/>
      </c>
      <c r="N102" s="41" t="str">
        <f aca="false">IF(Eingaben!$B$23="","",M102/12)</f>
        <v/>
      </c>
      <c r="O102" s="21" t="str">
        <f aca="false">IF(Eingaben!$B$23="","",Eingaben!$AF$23)</f>
        <v/>
      </c>
      <c r="P102" s="20" t="str">
        <f aca="false">IF(Eingaben!$B$23="","",Eingaben!$AE$23)</f>
        <v/>
      </c>
    </row>
    <row r="103" customFormat="false" ht="15" hidden="false" customHeight="false" outlineLevel="0" collapsed="false">
      <c r="A103" s="35" t="n">
        <v>10</v>
      </c>
      <c r="B103" s="29" t="str">
        <f aca="false">IF(Eingaben!$B$23="","",Eingaben!$B$23)</f>
        <v/>
      </c>
      <c r="C103" s="35" t="n">
        <v>9</v>
      </c>
      <c r="D103" s="36" t="str">
        <f aca="false">IF(Eingaben!$B$23="","",J102)</f>
        <v/>
      </c>
      <c r="E103" s="36" t="str">
        <f aca="false">IF(Eingaben!$B$23="","",Eingaben!$AC$23*12*(1+Eingaben!$K$23)^(9-1))</f>
        <v/>
      </c>
      <c r="F103" s="41" t="str">
        <f aca="false">IF(Eingaben!$B$23="","",E103/12)</f>
        <v/>
      </c>
      <c r="G103" s="36" t="str">
        <f aca="false">IF(Eingaben!$B$23="","",I103-H103)</f>
        <v/>
      </c>
      <c r="H103" s="36" t="str">
        <f aca="false">IF(Eingaben!$B$23="","",D103-J103)</f>
        <v/>
      </c>
      <c r="I103" s="36" t="str">
        <f aca="false">IF(Eingaben!$B$23="","",P103*12)</f>
        <v/>
      </c>
      <c r="J103" s="36" t="str">
        <f aca="false">IF(Eingaben!$B$23="","",IF(O103=0,MAX(0,D103-P103*12),MAX(0,D103*(1+O103)^12-P103*((1+O103)^12-1)/O103)))</f>
        <v/>
      </c>
      <c r="K103" s="36" t="str">
        <f aca="false">IF(Eingaben!$B$23="","",Eingaben!$M$23)</f>
        <v/>
      </c>
      <c r="L103" s="30" t="str">
        <f aca="false">IF(Eingaben!$B$23="","",'Steuer &amp; AfA'!L103)</f>
        <v/>
      </c>
      <c r="M103" s="42" t="str">
        <f aca="false">IF(Eingaben!$B$23="","",E103+L103-I103-K103)</f>
        <v/>
      </c>
      <c r="N103" s="41" t="str">
        <f aca="false">IF(Eingaben!$B$23="","",M103/12)</f>
        <v/>
      </c>
      <c r="O103" s="21" t="str">
        <f aca="false">IF(Eingaben!$B$23="","",Eingaben!$AF$23)</f>
        <v/>
      </c>
      <c r="P103" s="20" t="str">
        <f aca="false">IF(Eingaben!$B$23="","",Eingaben!$AE$23)</f>
        <v/>
      </c>
    </row>
    <row r="104" customFormat="false" ht="15" hidden="false" customHeight="false" outlineLevel="0" collapsed="false">
      <c r="A104" s="35" t="n">
        <v>10</v>
      </c>
      <c r="B104" s="29" t="str">
        <f aca="false">IF(Eingaben!$B$23="","",Eingaben!$B$23)</f>
        <v/>
      </c>
      <c r="C104" s="35" t="n">
        <v>10</v>
      </c>
      <c r="D104" s="36" t="str">
        <f aca="false">IF(Eingaben!$B$23="","",J103)</f>
        <v/>
      </c>
      <c r="E104" s="36" t="str">
        <f aca="false">IF(Eingaben!$B$23="","",Eingaben!$AC$23*12*(1+Eingaben!$K$23)^(10-1))</f>
        <v/>
      </c>
      <c r="F104" s="41" t="str">
        <f aca="false">IF(Eingaben!$B$23="","",E104/12)</f>
        <v/>
      </c>
      <c r="G104" s="36" t="str">
        <f aca="false">IF(Eingaben!$B$23="","",I104-H104)</f>
        <v/>
      </c>
      <c r="H104" s="36" t="str">
        <f aca="false">IF(Eingaben!$B$23="","",D104-J104)</f>
        <v/>
      </c>
      <c r="I104" s="36" t="str">
        <f aca="false">IF(Eingaben!$B$23="","",P104*12)</f>
        <v/>
      </c>
      <c r="J104" s="36" t="str">
        <f aca="false">IF(Eingaben!$B$23="","",IF(O104=0,MAX(0,D104-P104*12),MAX(0,D104*(1+O104)^12-P104*((1+O104)^12-1)/O104)))</f>
        <v/>
      </c>
      <c r="K104" s="36" t="str">
        <f aca="false">IF(Eingaben!$B$23="","",Eingaben!$M$23)</f>
        <v/>
      </c>
      <c r="L104" s="30" t="str">
        <f aca="false">IF(Eingaben!$B$23="","",'Steuer &amp; AfA'!L104)</f>
        <v/>
      </c>
      <c r="M104" s="42" t="str">
        <f aca="false">IF(Eingaben!$B$23="","",E104+L104-I104-K104)</f>
        <v/>
      </c>
      <c r="N104" s="41" t="str">
        <f aca="false">IF(Eingaben!$B$23="","",M104/12)</f>
        <v/>
      </c>
      <c r="O104" s="21" t="str">
        <f aca="false">IF(Eingaben!$B$23="","",Eingaben!$AF$23)</f>
        <v/>
      </c>
      <c r="P104" s="20" t="str">
        <f aca="false">IF(Eingaben!$B$23="","",Eingaben!$AE$23)</f>
        <v/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6FA8"/>
    <pageSetUpPr fitToPage="true"/>
  </sheetPr>
  <dimension ref="A1:Q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2" min="10" style="0" width="12"/>
    <col collapsed="false" customWidth="true" hidden="false" outlineLevel="0" max="13" min="13" style="0" width="2"/>
    <col collapsed="false" customWidth="true" hidden="false" outlineLevel="1" max="14" min="14" style="0" width="11"/>
    <col collapsed="false" customWidth="true" hidden="false" outlineLevel="1" max="15" min="15" style="0" width="12"/>
    <col collapsed="false" customWidth="true" hidden="false" outlineLevel="1" max="16" min="16" style="0" width="11"/>
    <col collapsed="false" customWidth="true" hidden="false" outlineLevel="1" max="17" min="17" style="0" width="12"/>
  </cols>
  <sheetData>
    <row r="1" customFormat="false" ht="30" hidden="false" customHeight="true" outlineLevel="0" collapsed="false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1.5" hidden="false" customHeight="true" outlineLevel="0" collapsed="false">
      <c r="A4" s="11" t="s">
        <v>12</v>
      </c>
      <c r="B4" s="11" t="s">
        <v>60</v>
      </c>
      <c r="C4" s="11" t="s">
        <v>75</v>
      </c>
      <c r="D4" s="11" t="s">
        <v>91</v>
      </c>
      <c r="E4" s="11" t="s">
        <v>92</v>
      </c>
      <c r="F4" s="11" t="s">
        <v>93</v>
      </c>
      <c r="G4" s="11" t="s">
        <v>94</v>
      </c>
      <c r="H4" s="11" t="s">
        <v>95</v>
      </c>
      <c r="I4" s="11" t="s">
        <v>96</v>
      </c>
      <c r="J4" s="11" t="s">
        <v>97</v>
      </c>
      <c r="K4" s="11" t="s">
        <v>98</v>
      </c>
      <c r="L4" s="11" t="s">
        <v>84</v>
      </c>
      <c r="N4" s="12" t="s">
        <v>99</v>
      </c>
      <c r="O4" s="12" t="s">
        <v>100</v>
      </c>
      <c r="P4" s="12" t="s">
        <v>101</v>
      </c>
      <c r="Q4" s="12" t="s">
        <v>102</v>
      </c>
    </row>
    <row r="5" customFormat="false" ht="15" hidden="false" customHeight="false" outlineLevel="0" collapsed="false">
      <c r="A5" s="28" t="n">
        <v>1</v>
      </c>
      <c r="B5" s="29" t="str">
        <f aca="false">IF(Eingaben!$B$14="","",Cashflow!B5)</f>
        <v>Musterwohnung Berlin</v>
      </c>
      <c r="C5" s="28" t="n">
        <v>1</v>
      </c>
      <c r="D5" s="31" t="n">
        <f aca="false">IF(Eingaben!$B$14="","",Eingaben!$AD$14)</f>
        <v>198400</v>
      </c>
      <c r="E5" s="31" t="n">
        <f aca="false">IF(Eingaben!$B$14="","",MIN(D5,MAX(0,IF(Eingaben!$S$14="Ja",D5*Eingaben!$T$14,Eingaben!$AD$14*Eingaben!$Q$14))))</f>
        <v>3968</v>
      </c>
      <c r="F5" s="31" t="n">
        <f aca="false">IF(Eingaben!$B$14="","",MIN(MAX(0,IF(AND(Eingaben!$U$14="Ja",1&lt;=Eingaben!$W$14),Eingaben!$AD$14*Eingaben!$V$14,0)),MAX(0,D5-E5)))</f>
        <v>0</v>
      </c>
      <c r="G5" s="31" t="n">
        <f aca="false">IF(Eingaben!$B$14="","",E5+F5)</f>
        <v>3968</v>
      </c>
      <c r="H5" s="31" t="n">
        <f aca="false">IF(Eingaben!$B$14="","",D5-G5)</f>
        <v>194432</v>
      </c>
      <c r="I5" s="31" t="n">
        <f aca="false">IF(Eingaben!$B$14="","",Cashflow!E5-Cashflow!G5-G5)</f>
        <v>-5095.21862255795</v>
      </c>
      <c r="J5" s="31" t="n">
        <f aca="false">IF(Eingaben!$B$14="","",IF(Eingaben!$D$6="Ja",2*MAX(0,O5),MAX(0,O5)))</f>
        <v>0</v>
      </c>
      <c r="K5" s="31" t="n">
        <f aca="false">IF(Eingaben!$B$14="","",IF(Eingaben!$D$6="Ja",2*MAX(0,Q5),MAX(0,Q5)))</f>
        <v>0</v>
      </c>
      <c r="L5" s="40" t="n">
        <f aca="false">IF(Eingaben!$B$14="","",IF(Eingaben!$D$5&gt;0,J5-K5,-I5*Eingaben!$D$9))</f>
        <v>2038.08744902318</v>
      </c>
      <c r="N5" s="8" t="n">
        <f aca="false">IF(Eingaben!$B$14="","",IF(Eingaben!$D$6="Ja",Eingaben!$F$6/2,Eingaben!$F$6))</f>
        <v>0</v>
      </c>
      <c r="O5" s="8" t="n">
        <f aca="false">IF(Eingaben!$B$14="","",IF(N5&lt;=12348,0,IF(N5&lt;=17799,(914.51*((N5-12348)/10000)+1400)*((N5-12348)/10000),IF(N5&lt;=69878,(181.19*((N5-17799)/10000)+2397)*((N5-17799)/10000)+1025.38,IF(N5&lt;=277825,0.42*N5-10637.32,0.45*N5-18971.07)))))</f>
        <v>0</v>
      </c>
      <c r="P5" s="8" t="n">
        <f aca="false">IF(Eingaben!$B$14="","",IF(Eingaben!$D$6="Ja",MAX(0,Eingaben!$F$6+I5)/2,MAX(0,Eingaben!$F$6+I5)))</f>
        <v>0</v>
      </c>
      <c r="Q5" s="8" t="n">
        <f aca="false">IF(Eingaben!$B$14="","",IF(P5&lt;=12348,0,IF(P5&lt;=17799,(914.51*((P5-12348)/10000)+1400)*((P5-12348)/10000),IF(P5&lt;=69878,(181.19*((P5-17799)/10000)+2397)*((P5-17799)/10000)+1025.38,IF(P5&lt;=277825,0.42*P5-10637.32,0.45*P5-18971.07)))))</f>
        <v>0</v>
      </c>
    </row>
    <row r="6" customFormat="false" ht="15" hidden="false" customHeight="false" outlineLevel="0" collapsed="false">
      <c r="A6" s="28" t="n">
        <v>1</v>
      </c>
      <c r="B6" s="29" t="str">
        <f aca="false">IF(Eingaben!$B$14="","",Cashflow!B6)</f>
        <v>Musterwohnung Berlin</v>
      </c>
      <c r="C6" s="28" t="n">
        <v>2</v>
      </c>
      <c r="D6" s="31" t="n">
        <f aca="false">IF(Eingaben!$B$14="","",H5)</f>
        <v>194432</v>
      </c>
      <c r="E6" s="31" t="n">
        <f aca="false">IF(Eingaben!$B$14="","",MIN(D6,MAX(0,IF(Eingaben!$S$14="Ja",D6*Eingaben!$T$14,Eingaben!$AD$14*Eingaben!$Q$14))))</f>
        <v>3968</v>
      </c>
      <c r="F6" s="31" t="n">
        <f aca="false">IF(Eingaben!$B$14="","",MIN(MAX(0,IF(AND(Eingaben!$U$14="Ja",2&lt;=Eingaben!$W$14),Eingaben!$AD$14*Eingaben!$V$14,0)),MAX(0,D6-E6)))</f>
        <v>0</v>
      </c>
      <c r="G6" s="31" t="n">
        <f aca="false">IF(Eingaben!$B$14="","",E6+F6)</f>
        <v>3968</v>
      </c>
      <c r="H6" s="31" t="n">
        <f aca="false">IF(Eingaben!$B$14="","",D6-G6)</f>
        <v>190464</v>
      </c>
      <c r="I6" s="31" t="n">
        <f aca="false">IF(Eingaben!$B$14="","",Cashflow!E6-Cashflow!G6-G6)</f>
        <v>-4802.15219597838</v>
      </c>
      <c r="J6" s="31" t="n">
        <f aca="false">IF(Eingaben!$B$14="","",IF(Eingaben!$D$6="Ja",2*MAX(0,O6),MAX(0,O6)))</f>
        <v>0</v>
      </c>
      <c r="K6" s="31" t="n">
        <f aca="false">IF(Eingaben!$B$14="","",IF(Eingaben!$D$6="Ja",2*MAX(0,Q6),MAX(0,Q6)))</f>
        <v>0</v>
      </c>
      <c r="L6" s="40" t="n">
        <f aca="false">IF(Eingaben!$B$14="","",IF(Eingaben!$D$5&gt;0,J6-K6,-I6*Eingaben!$D$9))</f>
        <v>1920.86087839135</v>
      </c>
      <c r="N6" s="8" t="n">
        <f aca="false">IF(Eingaben!$B$14="","",IF(Eingaben!$D$6="Ja",Eingaben!$F$6/2,Eingaben!$F$6))</f>
        <v>0</v>
      </c>
      <c r="O6" s="8" t="n">
        <f aca="false">IF(Eingaben!$B$14="","",IF(N6&lt;=12348,0,IF(N6&lt;=17799,(914.51*((N6-12348)/10000)+1400)*((N6-12348)/10000),IF(N6&lt;=69878,(181.19*((N6-17799)/10000)+2397)*((N6-17799)/10000)+1025.38,IF(N6&lt;=277825,0.42*N6-10637.32,0.45*N6-18971.07)))))</f>
        <v>0</v>
      </c>
      <c r="P6" s="8" t="n">
        <f aca="false">IF(Eingaben!$B$14="","",IF(Eingaben!$D$6="Ja",MAX(0,Eingaben!$F$6+I6)/2,MAX(0,Eingaben!$F$6+I6)))</f>
        <v>0</v>
      </c>
      <c r="Q6" s="8" t="n">
        <f aca="false">IF(Eingaben!$B$14="","",IF(P6&lt;=12348,0,IF(P6&lt;=17799,(914.51*((P6-12348)/10000)+1400)*((P6-12348)/10000),IF(P6&lt;=69878,(181.19*((P6-17799)/10000)+2397)*((P6-17799)/10000)+1025.38,IF(P6&lt;=277825,0.42*P6-10637.32,0.45*P6-18971.07)))))</f>
        <v>0</v>
      </c>
    </row>
    <row r="7" customFormat="false" ht="15" hidden="false" customHeight="false" outlineLevel="0" collapsed="false">
      <c r="A7" s="28" t="n">
        <v>1</v>
      </c>
      <c r="B7" s="29" t="str">
        <f aca="false">IF(Eingaben!$B$14="","",Cashflow!B7)</f>
        <v>Musterwohnung Berlin</v>
      </c>
      <c r="C7" s="28" t="n">
        <v>3</v>
      </c>
      <c r="D7" s="31" t="n">
        <f aca="false">IF(Eingaben!$B$14="","",H6)</f>
        <v>190464</v>
      </c>
      <c r="E7" s="31" t="n">
        <f aca="false">IF(Eingaben!$B$14="","",MIN(D7,MAX(0,IF(Eingaben!$S$14="Ja",D7*Eingaben!$T$14,Eingaben!$AD$14*Eingaben!$Q$14))))</f>
        <v>3968</v>
      </c>
      <c r="F7" s="31" t="n">
        <f aca="false">IF(Eingaben!$B$14="","",MIN(MAX(0,IF(AND(Eingaben!$U$14="Ja",3&lt;=Eingaben!$W$14),Eingaben!$AD$14*Eingaben!$V$14,0)),MAX(0,D7-E7)))</f>
        <v>0</v>
      </c>
      <c r="G7" s="31" t="n">
        <f aca="false">IF(Eingaben!$B$14="","",E7+F7)</f>
        <v>3968</v>
      </c>
      <c r="H7" s="31" t="n">
        <f aca="false">IF(Eingaben!$B$14="","",D7-G7)</f>
        <v>186496</v>
      </c>
      <c r="I7" s="31" t="n">
        <f aca="false">IF(Eingaben!$B$14="","",Cashflow!E7-Cashflow!G7-G7)</f>
        <v>-4500.75423581901</v>
      </c>
      <c r="J7" s="31" t="n">
        <f aca="false">IF(Eingaben!$B$14="","",IF(Eingaben!$D$6="Ja",2*MAX(0,O7),MAX(0,O7)))</f>
        <v>0</v>
      </c>
      <c r="K7" s="31" t="n">
        <f aca="false">IF(Eingaben!$B$14="","",IF(Eingaben!$D$6="Ja",2*MAX(0,Q7),MAX(0,Q7)))</f>
        <v>0</v>
      </c>
      <c r="L7" s="40" t="n">
        <f aca="false">IF(Eingaben!$B$14="","",IF(Eingaben!$D$5&gt;0,J7-K7,-I7*Eingaben!$D$9))</f>
        <v>1800.3016943276</v>
      </c>
      <c r="N7" s="8" t="n">
        <f aca="false">IF(Eingaben!$B$14="","",IF(Eingaben!$D$6="Ja",Eingaben!$F$6/2,Eingaben!$F$6))</f>
        <v>0</v>
      </c>
      <c r="O7" s="8" t="n">
        <f aca="false">IF(Eingaben!$B$14="","",IF(N7&lt;=12348,0,IF(N7&lt;=17799,(914.51*((N7-12348)/10000)+1400)*((N7-12348)/10000),IF(N7&lt;=69878,(181.19*((N7-17799)/10000)+2397)*((N7-17799)/10000)+1025.38,IF(N7&lt;=277825,0.42*N7-10637.32,0.45*N7-18971.07)))))</f>
        <v>0</v>
      </c>
      <c r="P7" s="8" t="n">
        <f aca="false">IF(Eingaben!$B$14="","",IF(Eingaben!$D$6="Ja",MAX(0,Eingaben!$F$6+I7)/2,MAX(0,Eingaben!$F$6+I7)))</f>
        <v>0</v>
      </c>
      <c r="Q7" s="8" t="n">
        <f aca="false">IF(Eingaben!$B$14="","",IF(P7&lt;=12348,0,IF(P7&lt;=17799,(914.51*((P7-12348)/10000)+1400)*((P7-12348)/10000),IF(P7&lt;=69878,(181.19*((P7-17799)/10000)+2397)*((P7-17799)/10000)+1025.38,IF(P7&lt;=277825,0.42*P7-10637.32,0.45*P7-18971.07)))))</f>
        <v>0</v>
      </c>
    </row>
    <row r="8" customFormat="false" ht="15" hidden="false" customHeight="false" outlineLevel="0" collapsed="false">
      <c r="A8" s="28" t="n">
        <v>1</v>
      </c>
      <c r="B8" s="29" t="str">
        <f aca="false">IF(Eingaben!$B$14="","",Cashflow!B8)</f>
        <v>Musterwohnung Berlin</v>
      </c>
      <c r="C8" s="28" t="n">
        <v>4</v>
      </c>
      <c r="D8" s="31" t="n">
        <f aca="false">IF(Eingaben!$B$14="","",H7)</f>
        <v>186496</v>
      </c>
      <c r="E8" s="31" t="n">
        <f aca="false">IF(Eingaben!$B$14="","",MIN(D8,MAX(0,IF(Eingaben!$S$14="Ja",D8*Eingaben!$T$14,Eingaben!$AD$14*Eingaben!$Q$14))))</f>
        <v>3968</v>
      </c>
      <c r="F8" s="31" t="n">
        <f aca="false">IF(Eingaben!$B$14="","",MIN(MAX(0,IF(AND(Eingaben!$U$14="Ja",4&lt;=Eingaben!$W$14),Eingaben!$AD$14*Eingaben!$V$14,0)),MAX(0,D8-E8)))</f>
        <v>0</v>
      </c>
      <c r="G8" s="31" t="n">
        <f aca="false">IF(Eingaben!$B$14="","",E8+F8)</f>
        <v>3968</v>
      </c>
      <c r="H8" s="31" t="n">
        <f aca="false">IF(Eingaben!$B$14="","",D8-G8)</f>
        <v>182528</v>
      </c>
      <c r="I8" s="31" t="n">
        <f aca="false">IF(Eingaben!$B$14="","",Cashflow!E8-Cashflow!G8-G8)</f>
        <v>-4190.75234215072</v>
      </c>
      <c r="J8" s="31" t="n">
        <f aca="false">IF(Eingaben!$B$14="","",IF(Eingaben!$D$6="Ja",2*MAX(0,O8),MAX(0,O8)))</f>
        <v>0</v>
      </c>
      <c r="K8" s="31" t="n">
        <f aca="false">IF(Eingaben!$B$14="","",IF(Eingaben!$D$6="Ja",2*MAX(0,Q8),MAX(0,Q8)))</f>
        <v>0</v>
      </c>
      <c r="L8" s="40" t="n">
        <f aca="false">IF(Eingaben!$B$14="","",IF(Eingaben!$D$5&gt;0,J8-K8,-I8*Eingaben!$D$9))</f>
        <v>1676.30093686029</v>
      </c>
      <c r="N8" s="8" t="n">
        <f aca="false">IF(Eingaben!$B$14="","",IF(Eingaben!$D$6="Ja",Eingaben!$F$6/2,Eingaben!$F$6))</f>
        <v>0</v>
      </c>
      <c r="O8" s="8" t="n">
        <f aca="false">IF(Eingaben!$B$14="","",IF(N8&lt;=12348,0,IF(N8&lt;=17799,(914.51*((N8-12348)/10000)+1400)*((N8-12348)/10000),IF(N8&lt;=69878,(181.19*((N8-17799)/10000)+2397)*((N8-17799)/10000)+1025.38,IF(N8&lt;=277825,0.42*N8-10637.32,0.45*N8-18971.07)))))</f>
        <v>0</v>
      </c>
      <c r="P8" s="8" t="n">
        <f aca="false">IF(Eingaben!$B$14="","",IF(Eingaben!$D$6="Ja",MAX(0,Eingaben!$F$6+I8)/2,MAX(0,Eingaben!$F$6+I8)))</f>
        <v>0</v>
      </c>
      <c r="Q8" s="8" t="n">
        <f aca="false">IF(Eingaben!$B$14="","",IF(P8&lt;=12348,0,IF(P8&lt;=17799,(914.51*((P8-12348)/10000)+1400)*((P8-12348)/10000),IF(P8&lt;=69878,(181.19*((P8-17799)/10000)+2397)*((P8-17799)/10000)+1025.38,IF(P8&lt;=277825,0.42*P8-10637.32,0.45*P8-18971.07)))))</f>
        <v>0</v>
      </c>
    </row>
    <row r="9" customFormat="false" ht="15" hidden="false" customHeight="false" outlineLevel="0" collapsed="false">
      <c r="A9" s="28" t="n">
        <v>1</v>
      </c>
      <c r="B9" s="29" t="str">
        <f aca="false">IF(Eingaben!$B$14="","",Cashflow!B9)</f>
        <v>Musterwohnung Berlin</v>
      </c>
      <c r="C9" s="28" t="n">
        <v>5</v>
      </c>
      <c r="D9" s="31" t="n">
        <f aca="false">IF(Eingaben!$B$14="","",H8)</f>
        <v>182528</v>
      </c>
      <c r="E9" s="31" t="n">
        <f aca="false">IF(Eingaben!$B$14="","",MIN(D9,MAX(0,IF(Eingaben!$S$14="Ja",D9*Eingaben!$T$14,Eingaben!$AD$14*Eingaben!$Q$14))))</f>
        <v>3968</v>
      </c>
      <c r="F9" s="31" t="n">
        <f aca="false">IF(Eingaben!$B$14="","",MIN(MAX(0,IF(AND(Eingaben!$U$14="Ja",5&lt;=Eingaben!$W$14),Eingaben!$AD$14*Eingaben!$V$14,0)),MAX(0,D9-E9)))</f>
        <v>0</v>
      </c>
      <c r="G9" s="31" t="n">
        <f aca="false">IF(Eingaben!$B$14="","",E9+F9)</f>
        <v>3968</v>
      </c>
      <c r="H9" s="31" t="n">
        <f aca="false">IF(Eingaben!$B$14="","",D9-G9)</f>
        <v>178560</v>
      </c>
      <c r="I9" s="31" t="n">
        <f aca="false">IF(Eingaben!$B$14="","",Cashflow!E9-Cashflow!G9-G9)</f>
        <v>-3871.864138217</v>
      </c>
      <c r="J9" s="31" t="n">
        <f aca="false">IF(Eingaben!$B$14="","",IF(Eingaben!$D$6="Ja",2*MAX(0,O9),MAX(0,O9)))</f>
        <v>0</v>
      </c>
      <c r="K9" s="31" t="n">
        <f aca="false">IF(Eingaben!$B$14="","",IF(Eingaben!$D$6="Ja",2*MAX(0,Q9),MAX(0,Q9)))</f>
        <v>0</v>
      </c>
      <c r="L9" s="40" t="n">
        <f aca="false">IF(Eingaben!$B$14="","",IF(Eingaben!$D$5&gt;0,J9-K9,-I9*Eingaben!$D$9))</f>
        <v>1548.7456552868</v>
      </c>
      <c r="N9" s="8" t="n">
        <f aca="false">IF(Eingaben!$B$14="","",IF(Eingaben!$D$6="Ja",Eingaben!$F$6/2,Eingaben!$F$6))</f>
        <v>0</v>
      </c>
      <c r="O9" s="8" t="n">
        <f aca="false">IF(Eingaben!$B$14="","",IF(N9&lt;=12348,0,IF(N9&lt;=17799,(914.51*((N9-12348)/10000)+1400)*((N9-12348)/10000),IF(N9&lt;=69878,(181.19*((N9-17799)/10000)+2397)*((N9-17799)/10000)+1025.38,IF(N9&lt;=277825,0.42*N9-10637.32,0.45*N9-18971.07)))))</f>
        <v>0</v>
      </c>
      <c r="P9" s="8" t="n">
        <f aca="false">IF(Eingaben!$B$14="","",IF(Eingaben!$D$6="Ja",MAX(0,Eingaben!$F$6+I9)/2,MAX(0,Eingaben!$F$6+I9)))</f>
        <v>0</v>
      </c>
      <c r="Q9" s="8" t="n">
        <f aca="false">IF(Eingaben!$B$14="","",IF(P9&lt;=12348,0,IF(P9&lt;=17799,(914.51*((P9-12348)/10000)+1400)*((P9-12348)/10000),IF(P9&lt;=69878,(181.19*((P9-17799)/10000)+2397)*((P9-17799)/10000)+1025.38,IF(P9&lt;=277825,0.42*P9-10637.32,0.45*P9-18971.07)))))</f>
        <v>0</v>
      </c>
    </row>
    <row r="10" customFormat="false" ht="15" hidden="false" customHeight="false" outlineLevel="0" collapsed="false">
      <c r="A10" s="28" t="n">
        <v>1</v>
      </c>
      <c r="B10" s="29" t="str">
        <f aca="false">IF(Eingaben!$B$14="","",Cashflow!B10)</f>
        <v>Musterwohnung Berlin</v>
      </c>
      <c r="C10" s="28" t="n">
        <v>6</v>
      </c>
      <c r="D10" s="31" t="n">
        <f aca="false">IF(Eingaben!$B$14="","",H9)</f>
        <v>178560</v>
      </c>
      <c r="E10" s="31" t="n">
        <f aca="false">IF(Eingaben!$B$14="","",MIN(D10,MAX(0,IF(Eingaben!$S$14="Ja",D10*Eingaben!$T$14,Eingaben!$AD$14*Eingaben!$Q$14))))</f>
        <v>3968</v>
      </c>
      <c r="F10" s="31" t="n">
        <f aca="false">IF(Eingaben!$B$14="","",MIN(MAX(0,IF(AND(Eingaben!$U$14="Ja",6&lt;=Eingaben!$W$14),Eingaben!$AD$14*Eingaben!$V$14,0)),MAX(0,D10-E10)))</f>
        <v>0</v>
      </c>
      <c r="G10" s="31" t="n">
        <f aca="false">IF(Eingaben!$B$14="","",E10+F10)</f>
        <v>3968</v>
      </c>
      <c r="H10" s="31" t="n">
        <f aca="false">IF(Eingaben!$B$14="","",D10-G10)</f>
        <v>174592</v>
      </c>
      <c r="I10" s="31" t="n">
        <f aca="false">IF(Eingaben!$B$14="","",Cashflow!E10-Cashflow!G10-G10)</f>
        <v>-3543.79687698187</v>
      </c>
      <c r="J10" s="31" t="n">
        <f aca="false">IF(Eingaben!$B$14="","",IF(Eingaben!$D$6="Ja",2*MAX(0,O10),MAX(0,O10)))</f>
        <v>0</v>
      </c>
      <c r="K10" s="31" t="n">
        <f aca="false">IF(Eingaben!$B$14="","",IF(Eingaben!$D$6="Ja",2*MAX(0,Q10),MAX(0,Q10)))</f>
        <v>0</v>
      </c>
      <c r="L10" s="40" t="n">
        <f aca="false">IF(Eingaben!$B$14="","",IF(Eingaben!$D$5&gt;0,J10-K10,-I10*Eingaben!$D$9))</f>
        <v>1417.51875079275</v>
      </c>
      <c r="N10" s="8" t="n">
        <f aca="false">IF(Eingaben!$B$14="","",IF(Eingaben!$D$6="Ja",Eingaben!$F$6/2,Eingaben!$F$6))</f>
        <v>0</v>
      </c>
      <c r="O10" s="8" t="n">
        <f aca="false">IF(Eingaben!$B$14="","",IF(N10&lt;=12348,0,IF(N10&lt;=17799,(914.51*((N10-12348)/10000)+1400)*((N10-12348)/10000),IF(N10&lt;=69878,(181.19*((N10-17799)/10000)+2397)*((N10-17799)/10000)+1025.38,IF(N10&lt;=277825,0.42*N10-10637.32,0.45*N10-18971.07)))))</f>
        <v>0</v>
      </c>
      <c r="P10" s="8" t="n">
        <f aca="false">IF(Eingaben!$B$14="","",IF(Eingaben!$D$6="Ja",MAX(0,Eingaben!$F$6+I10)/2,MAX(0,Eingaben!$F$6+I10)))</f>
        <v>0</v>
      </c>
      <c r="Q10" s="8" t="n">
        <f aca="false">IF(Eingaben!$B$14="","",IF(P10&lt;=12348,0,IF(P10&lt;=17799,(914.51*((P10-12348)/10000)+1400)*((P10-12348)/10000),IF(P10&lt;=69878,(181.19*((P10-17799)/10000)+2397)*((P10-17799)/10000)+1025.38,IF(P10&lt;=277825,0.42*P10-10637.32,0.45*P10-18971.07)))))</f>
        <v>0</v>
      </c>
    </row>
    <row r="11" customFormat="false" ht="15" hidden="false" customHeight="false" outlineLevel="0" collapsed="false">
      <c r="A11" s="28" t="n">
        <v>1</v>
      </c>
      <c r="B11" s="29" t="str">
        <f aca="false">IF(Eingaben!$B$14="","",Cashflow!B11)</f>
        <v>Musterwohnung Berlin</v>
      </c>
      <c r="C11" s="28" t="n">
        <v>7</v>
      </c>
      <c r="D11" s="31" t="n">
        <f aca="false">IF(Eingaben!$B$14="","",H10)</f>
        <v>174592</v>
      </c>
      <c r="E11" s="31" t="n">
        <f aca="false">IF(Eingaben!$B$14="","",MIN(D11,MAX(0,IF(Eingaben!$S$14="Ja",D11*Eingaben!$T$14,Eingaben!$AD$14*Eingaben!$Q$14))))</f>
        <v>3968</v>
      </c>
      <c r="F11" s="31" t="n">
        <f aca="false">IF(Eingaben!$B$14="","",MIN(MAX(0,IF(AND(Eingaben!$U$14="Ja",7&lt;=Eingaben!$W$14),Eingaben!$AD$14*Eingaben!$V$14,0)),MAX(0,D11-E11)))</f>
        <v>0</v>
      </c>
      <c r="G11" s="31" t="n">
        <f aca="false">IF(Eingaben!$B$14="","",E11+F11)</f>
        <v>3968</v>
      </c>
      <c r="H11" s="31" t="n">
        <f aca="false">IF(Eingaben!$B$14="","",D11-G11)</f>
        <v>170624</v>
      </c>
      <c r="I11" s="31" t="n">
        <f aca="false">IF(Eingaben!$B$14="","",Cashflow!E11-Cashflow!G11-G11)</f>
        <v>-3206.24703150594</v>
      </c>
      <c r="J11" s="31" t="n">
        <f aca="false">IF(Eingaben!$B$14="","",IF(Eingaben!$D$6="Ja",2*MAX(0,O11),MAX(0,O11)))</f>
        <v>0</v>
      </c>
      <c r="K11" s="31" t="n">
        <f aca="false">IF(Eingaben!$B$14="","",IF(Eingaben!$D$6="Ja",2*MAX(0,Q11),MAX(0,Q11)))</f>
        <v>0</v>
      </c>
      <c r="L11" s="40" t="n">
        <f aca="false">IF(Eingaben!$B$14="","",IF(Eingaben!$D$5&gt;0,J11-K11,-I11*Eingaben!$D$9))</f>
        <v>1282.49881260238</v>
      </c>
      <c r="N11" s="8" t="n">
        <f aca="false">IF(Eingaben!$B$14="","",IF(Eingaben!$D$6="Ja",Eingaben!$F$6/2,Eingaben!$F$6))</f>
        <v>0</v>
      </c>
      <c r="O11" s="8" t="n">
        <f aca="false">IF(Eingaben!$B$14="","",IF(N11&lt;=12348,0,IF(N11&lt;=17799,(914.51*((N11-12348)/10000)+1400)*((N11-12348)/10000),IF(N11&lt;=69878,(181.19*((N11-17799)/10000)+2397)*((N11-17799)/10000)+1025.38,IF(N11&lt;=277825,0.42*N11-10637.32,0.45*N11-18971.07)))))</f>
        <v>0</v>
      </c>
      <c r="P11" s="8" t="n">
        <f aca="false">IF(Eingaben!$B$14="","",IF(Eingaben!$D$6="Ja",MAX(0,Eingaben!$F$6+I11)/2,MAX(0,Eingaben!$F$6+I11)))</f>
        <v>0</v>
      </c>
      <c r="Q11" s="8" t="n">
        <f aca="false">IF(Eingaben!$B$14="","",IF(P11&lt;=12348,0,IF(P11&lt;=17799,(914.51*((P11-12348)/10000)+1400)*((P11-12348)/10000),IF(P11&lt;=69878,(181.19*((P11-17799)/10000)+2397)*((P11-17799)/10000)+1025.38,IF(P11&lt;=277825,0.42*P11-10637.32,0.45*P11-18971.07)))))</f>
        <v>0</v>
      </c>
    </row>
    <row r="12" customFormat="false" ht="15" hidden="false" customHeight="false" outlineLevel="0" collapsed="false">
      <c r="A12" s="28" t="n">
        <v>1</v>
      </c>
      <c r="B12" s="29" t="str">
        <f aca="false">IF(Eingaben!$B$14="","",Cashflow!B12)</f>
        <v>Musterwohnung Berlin</v>
      </c>
      <c r="C12" s="28" t="n">
        <v>8</v>
      </c>
      <c r="D12" s="31" t="n">
        <f aca="false">IF(Eingaben!$B$14="","",H11)</f>
        <v>170624</v>
      </c>
      <c r="E12" s="31" t="n">
        <f aca="false">IF(Eingaben!$B$14="","",MIN(D12,MAX(0,IF(Eingaben!$S$14="Ja",D12*Eingaben!$T$14,Eingaben!$AD$14*Eingaben!$Q$14))))</f>
        <v>3968</v>
      </c>
      <c r="F12" s="31" t="n">
        <f aca="false">IF(Eingaben!$B$14="","",MIN(MAX(0,IF(AND(Eingaben!$U$14="Ja",8&lt;=Eingaben!$W$14),Eingaben!$AD$14*Eingaben!$V$14,0)),MAX(0,D12-E12)))</f>
        <v>0</v>
      </c>
      <c r="G12" s="31" t="n">
        <f aca="false">IF(Eingaben!$B$14="","",E12+F12)</f>
        <v>3968</v>
      </c>
      <c r="H12" s="31" t="n">
        <f aca="false">IF(Eingaben!$B$14="","",D12-G12)</f>
        <v>166656</v>
      </c>
      <c r="I12" s="31" t="n">
        <f aca="false">IF(Eingaben!$B$14="","",Cashflow!E12-Cashflow!G12-G12)</f>
        <v>-2858.89986847118</v>
      </c>
      <c r="J12" s="31" t="n">
        <f aca="false">IF(Eingaben!$B$14="","",IF(Eingaben!$D$6="Ja",2*MAX(0,O12),MAX(0,O12)))</f>
        <v>0</v>
      </c>
      <c r="K12" s="31" t="n">
        <f aca="false">IF(Eingaben!$B$14="","",IF(Eingaben!$D$6="Ja",2*MAX(0,Q12),MAX(0,Q12)))</f>
        <v>0</v>
      </c>
      <c r="L12" s="40" t="n">
        <f aca="false">IF(Eingaben!$B$14="","",IF(Eingaben!$D$5&gt;0,J12-K12,-I12*Eingaben!$D$9))</f>
        <v>1143.55994738847</v>
      </c>
      <c r="N12" s="8" t="n">
        <f aca="false">IF(Eingaben!$B$14="","",IF(Eingaben!$D$6="Ja",Eingaben!$F$6/2,Eingaben!$F$6))</f>
        <v>0</v>
      </c>
      <c r="O12" s="8" t="n">
        <f aca="false">IF(Eingaben!$B$14="","",IF(N12&lt;=12348,0,IF(N12&lt;=17799,(914.51*((N12-12348)/10000)+1400)*((N12-12348)/10000),IF(N12&lt;=69878,(181.19*((N12-17799)/10000)+2397)*((N12-17799)/10000)+1025.38,IF(N12&lt;=277825,0.42*N12-10637.32,0.45*N12-18971.07)))))</f>
        <v>0</v>
      </c>
      <c r="P12" s="8" t="n">
        <f aca="false">IF(Eingaben!$B$14="","",IF(Eingaben!$D$6="Ja",MAX(0,Eingaben!$F$6+I12)/2,MAX(0,Eingaben!$F$6+I12)))</f>
        <v>0</v>
      </c>
      <c r="Q12" s="8" t="n">
        <f aca="false">IF(Eingaben!$B$14="","",IF(P12&lt;=12348,0,IF(P12&lt;=17799,(914.51*((P12-12348)/10000)+1400)*((P12-12348)/10000),IF(P12&lt;=69878,(181.19*((P12-17799)/10000)+2397)*((P12-17799)/10000)+1025.38,IF(P12&lt;=277825,0.42*P12-10637.32,0.45*P12-18971.07)))))</f>
        <v>0</v>
      </c>
    </row>
    <row r="13" customFormat="false" ht="15" hidden="false" customHeight="false" outlineLevel="0" collapsed="false">
      <c r="A13" s="28" t="n">
        <v>1</v>
      </c>
      <c r="B13" s="29" t="str">
        <f aca="false">IF(Eingaben!$B$14="","",Cashflow!B13)</f>
        <v>Musterwohnung Berlin</v>
      </c>
      <c r="C13" s="28" t="n">
        <v>9</v>
      </c>
      <c r="D13" s="31" t="n">
        <f aca="false">IF(Eingaben!$B$14="","",H12)</f>
        <v>166656</v>
      </c>
      <c r="E13" s="31" t="n">
        <f aca="false">IF(Eingaben!$B$14="","",MIN(D13,MAX(0,IF(Eingaben!$S$14="Ja",D13*Eingaben!$T$14,Eingaben!$AD$14*Eingaben!$Q$14))))</f>
        <v>3968</v>
      </c>
      <c r="F13" s="31" t="n">
        <f aca="false">IF(Eingaben!$B$14="","",MIN(MAX(0,IF(AND(Eingaben!$U$14="Ja",9&lt;=Eingaben!$W$14),Eingaben!$AD$14*Eingaben!$V$14,0)),MAX(0,D13-E13)))</f>
        <v>0</v>
      </c>
      <c r="G13" s="31" t="n">
        <f aca="false">IF(Eingaben!$B$14="","",E13+F13)</f>
        <v>3968</v>
      </c>
      <c r="H13" s="31" t="n">
        <f aca="false">IF(Eingaben!$B$14="","",D13-G13)</f>
        <v>162688</v>
      </c>
      <c r="I13" s="31" t="n">
        <f aca="false">IF(Eingaben!$B$14="","",Cashflow!E13-Cashflow!G13-G13)</f>
        <v>-2501.42900414694</v>
      </c>
      <c r="J13" s="31" t="n">
        <f aca="false">IF(Eingaben!$B$14="","",IF(Eingaben!$D$6="Ja",2*MAX(0,O13),MAX(0,O13)))</f>
        <v>0</v>
      </c>
      <c r="K13" s="31" t="n">
        <f aca="false">IF(Eingaben!$B$14="","",IF(Eingaben!$D$6="Ja",2*MAX(0,Q13),MAX(0,Q13)))</f>
        <v>0</v>
      </c>
      <c r="L13" s="40" t="n">
        <f aca="false">IF(Eingaben!$B$14="","",IF(Eingaben!$D$5&gt;0,J13-K13,-I13*Eingaben!$D$9))</f>
        <v>1000.57160165878</v>
      </c>
      <c r="N13" s="8" t="n">
        <f aca="false">IF(Eingaben!$B$14="","",IF(Eingaben!$D$6="Ja",Eingaben!$F$6/2,Eingaben!$F$6))</f>
        <v>0</v>
      </c>
      <c r="O13" s="8" t="n">
        <f aca="false">IF(Eingaben!$B$14="","",IF(N13&lt;=12348,0,IF(N13&lt;=17799,(914.51*((N13-12348)/10000)+1400)*((N13-12348)/10000),IF(N13&lt;=69878,(181.19*((N13-17799)/10000)+2397)*((N13-17799)/10000)+1025.38,IF(N13&lt;=277825,0.42*N13-10637.32,0.45*N13-18971.07)))))</f>
        <v>0</v>
      </c>
      <c r="P13" s="8" t="n">
        <f aca="false">IF(Eingaben!$B$14="","",IF(Eingaben!$D$6="Ja",MAX(0,Eingaben!$F$6+I13)/2,MAX(0,Eingaben!$F$6+I13)))</f>
        <v>0</v>
      </c>
      <c r="Q13" s="8" t="n">
        <f aca="false">IF(Eingaben!$B$14="","",IF(P13&lt;=12348,0,IF(P13&lt;=17799,(914.51*((P13-12348)/10000)+1400)*((P13-12348)/10000),IF(P13&lt;=69878,(181.19*((P13-17799)/10000)+2397)*((P13-17799)/10000)+1025.38,IF(P13&lt;=277825,0.42*P13-10637.32,0.45*P13-18971.07)))))</f>
        <v>0</v>
      </c>
    </row>
    <row r="14" customFormat="false" ht="15" hidden="false" customHeight="false" outlineLevel="0" collapsed="false">
      <c r="A14" s="28" t="n">
        <v>1</v>
      </c>
      <c r="B14" s="29" t="str">
        <f aca="false">IF(Eingaben!$B$14="","",Cashflow!B14)</f>
        <v>Musterwohnung Berlin</v>
      </c>
      <c r="C14" s="28" t="n">
        <v>10</v>
      </c>
      <c r="D14" s="31" t="n">
        <f aca="false">IF(Eingaben!$B$14="","",H13)</f>
        <v>162688</v>
      </c>
      <c r="E14" s="31" t="n">
        <f aca="false">IF(Eingaben!$B$14="","",MIN(D14,MAX(0,IF(Eingaben!$S$14="Ja",D14*Eingaben!$T$14,Eingaben!$AD$14*Eingaben!$Q$14))))</f>
        <v>3968</v>
      </c>
      <c r="F14" s="31" t="n">
        <f aca="false">IF(Eingaben!$B$14="","",MIN(MAX(0,IF(AND(Eingaben!$U$14="Ja",10&lt;=Eingaben!$W$14),Eingaben!$AD$14*Eingaben!$V$14,0)),MAX(0,D14-E14)))</f>
        <v>0</v>
      </c>
      <c r="G14" s="31" t="n">
        <f aca="false">IF(Eingaben!$B$14="","",E14+F14)</f>
        <v>3968</v>
      </c>
      <c r="H14" s="31" t="n">
        <f aca="false">IF(Eingaben!$B$14="","",D14-G14)</f>
        <v>158720</v>
      </c>
      <c r="I14" s="31" t="n">
        <f aca="false">IF(Eingaben!$B$14="","",Cashflow!E14-Cashflow!G14-G14)</f>
        <v>-2133.49594205923</v>
      </c>
      <c r="J14" s="31" t="n">
        <f aca="false">IF(Eingaben!$B$14="","",IF(Eingaben!$D$6="Ja",2*MAX(0,O14),MAX(0,O14)))</f>
        <v>0</v>
      </c>
      <c r="K14" s="31" t="n">
        <f aca="false">IF(Eingaben!$B$14="","",IF(Eingaben!$D$6="Ja",2*MAX(0,Q14),MAX(0,Q14)))</f>
        <v>0</v>
      </c>
      <c r="L14" s="40" t="n">
        <f aca="false">IF(Eingaben!$B$14="","",IF(Eingaben!$D$5&gt;0,J14-K14,-I14*Eingaben!$D$9))</f>
        <v>853.398376823693</v>
      </c>
      <c r="N14" s="8" t="n">
        <f aca="false">IF(Eingaben!$B$14="","",IF(Eingaben!$D$6="Ja",Eingaben!$F$6/2,Eingaben!$F$6))</f>
        <v>0</v>
      </c>
      <c r="O14" s="8" t="n">
        <f aca="false">IF(Eingaben!$B$14="","",IF(N14&lt;=12348,0,IF(N14&lt;=17799,(914.51*((N14-12348)/10000)+1400)*((N14-12348)/10000),IF(N14&lt;=69878,(181.19*((N14-17799)/10000)+2397)*((N14-17799)/10000)+1025.38,IF(N14&lt;=277825,0.42*N14-10637.32,0.45*N14-18971.07)))))</f>
        <v>0</v>
      </c>
      <c r="P14" s="8" t="n">
        <f aca="false">IF(Eingaben!$B$14="","",IF(Eingaben!$D$6="Ja",MAX(0,Eingaben!$F$6+I14)/2,MAX(0,Eingaben!$F$6+I14)))</f>
        <v>0</v>
      </c>
      <c r="Q14" s="8" t="n">
        <f aca="false">IF(Eingaben!$B$14="","",IF(P14&lt;=12348,0,IF(P14&lt;=17799,(914.51*((P14-12348)/10000)+1400)*((P14-12348)/10000),IF(P14&lt;=69878,(181.19*((P14-17799)/10000)+2397)*((P14-17799)/10000)+1025.38,IF(P14&lt;=277825,0.42*P14-10637.32,0.45*P14-18971.07)))))</f>
        <v>0</v>
      </c>
    </row>
    <row r="15" customFormat="false" ht="15" hidden="false" customHeight="false" outlineLevel="0" collapsed="false">
      <c r="A15" s="35" t="n">
        <v>2</v>
      </c>
      <c r="B15" s="29" t="str">
        <f aca="false">IF(Eingaben!$B$15="","",Cashflow!B15)</f>
        <v/>
      </c>
      <c r="C15" s="35" t="n">
        <v>1</v>
      </c>
      <c r="D15" s="36" t="str">
        <f aca="false">IF(Eingaben!$B$15="","",Eingaben!$AD$15)</f>
        <v/>
      </c>
      <c r="E15" s="36" t="str">
        <f aca="false">IF(Eingaben!$B$15="","",MIN(D15,MAX(0,IF(Eingaben!$S$15="Ja",D15*Eingaben!$T$15,Eingaben!$AD$15*Eingaben!$Q$15))))</f>
        <v/>
      </c>
      <c r="F15" s="36" t="str">
        <f aca="false">IF(Eingaben!$B$15="","",MIN(MAX(0,IF(AND(Eingaben!$U$15="Ja",1&lt;=Eingaben!$W$15),Eingaben!$AD$15*Eingaben!$V$15,0)),MAX(0,D15-E15)))</f>
        <v/>
      </c>
      <c r="G15" s="36" t="str">
        <f aca="false">IF(Eingaben!$B$15="","",E15+F15)</f>
        <v/>
      </c>
      <c r="H15" s="36" t="str">
        <f aca="false">IF(Eingaben!$B$15="","",D15-G15)</f>
        <v/>
      </c>
      <c r="I15" s="36" t="str">
        <f aca="false">IF(Eingaben!$B$15="","",Cashflow!E15-Cashflow!G15-G15)</f>
        <v/>
      </c>
      <c r="J15" s="36" t="str">
        <f aca="false">IF(Eingaben!$B$15="","",IF(Eingaben!$D$6="Ja",2*MAX(0,O15),MAX(0,O15)))</f>
        <v/>
      </c>
      <c r="K15" s="36" t="str">
        <f aca="false">IF(Eingaben!$B$15="","",IF(Eingaben!$D$6="Ja",2*MAX(0,Q15),MAX(0,Q15)))</f>
        <v/>
      </c>
      <c r="L15" s="42" t="str">
        <f aca="false">IF(Eingaben!$B$15="","",IF(Eingaben!$D$5&gt;0,J15-K15,-I15*Eingaben!$D$9))</f>
        <v/>
      </c>
      <c r="N15" s="8" t="str">
        <f aca="false">IF(Eingaben!$B$15="","",IF(Eingaben!$D$6="Ja",Eingaben!$F$6/2,Eingaben!$F$6))</f>
        <v/>
      </c>
      <c r="O15" s="8" t="str">
        <f aca="false">IF(Eingaben!$B$15="","",IF(N15&lt;=12348,0,IF(N15&lt;=17799,(914.51*((N15-12348)/10000)+1400)*((N15-12348)/10000),IF(N15&lt;=69878,(181.19*((N15-17799)/10000)+2397)*((N15-17799)/10000)+1025.38,IF(N15&lt;=277825,0.42*N15-10637.32,0.45*N15-18971.07)))))</f>
        <v/>
      </c>
      <c r="P15" s="8" t="str">
        <f aca="false">IF(Eingaben!$B$15="","",IF(Eingaben!$D$6="Ja",MAX(0,Eingaben!$F$6+I15)/2,MAX(0,Eingaben!$F$6+I15)))</f>
        <v/>
      </c>
      <c r="Q15" s="8" t="str">
        <f aca="false">IF(Eingaben!$B$15="","",IF(P15&lt;=12348,0,IF(P15&lt;=17799,(914.51*((P15-12348)/10000)+1400)*((P15-12348)/10000),IF(P15&lt;=69878,(181.19*((P15-17799)/10000)+2397)*((P15-17799)/10000)+1025.38,IF(P15&lt;=277825,0.42*P15-10637.32,0.45*P15-18971.07)))))</f>
        <v/>
      </c>
    </row>
    <row r="16" customFormat="false" ht="15" hidden="false" customHeight="false" outlineLevel="0" collapsed="false">
      <c r="A16" s="35" t="n">
        <v>2</v>
      </c>
      <c r="B16" s="29" t="str">
        <f aca="false">IF(Eingaben!$B$15="","",Cashflow!B16)</f>
        <v/>
      </c>
      <c r="C16" s="35" t="n">
        <v>2</v>
      </c>
      <c r="D16" s="36" t="str">
        <f aca="false">IF(Eingaben!$B$15="","",H15)</f>
        <v/>
      </c>
      <c r="E16" s="36" t="str">
        <f aca="false">IF(Eingaben!$B$15="","",MIN(D16,MAX(0,IF(Eingaben!$S$15="Ja",D16*Eingaben!$T$15,Eingaben!$AD$15*Eingaben!$Q$15))))</f>
        <v/>
      </c>
      <c r="F16" s="36" t="str">
        <f aca="false">IF(Eingaben!$B$15="","",MIN(MAX(0,IF(AND(Eingaben!$U$15="Ja",2&lt;=Eingaben!$W$15),Eingaben!$AD$15*Eingaben!$V$15,0)),MAX(0,D16-E16)))</f>
        <v/>
      </c>
      <c r="G16" s="36" t="str">
        <f aca="false">IF(Eingaben!$B$15="","",E16+F16)</f>
        <v/>
      </c>
      <c r="H16" s="36" t="str">
        <f aca="false">IF(Eingaben!$B$15="","",D16-G16)</f>
        <v/>
      </c>
      <c r="I16" s="36" t="str">
        <f aca="false">IF(Eingaben!$B$15="","",Cashflow!E16-Cashflow!G16-G16)</f>
        <v/>
      </c>
      <c r="J16" s="36" t="str">
        <f aca="false">IF(Eingaben!$B$15="","",IF(Eingaben!$D$6="Ja",2*MAX(0,O16),MAX(0,O16)))</f>
        <v/>
      </c>
      <c r="K16" s="36" t="str">
        <f aca="false">IF(Eingaben!$B$15="","",IF(Eingaben!$D$6="Ja",2*MAX(0,Q16),MAX(0,Q16)))</f>
        <v/>
      </c>
      <c r="L16" s="42" t="str">
        <f aca="false">IF(Eingaben!$B$15="","",IF(Eingaben!$D$5&gt;0,J16-K16,-I16*Eingaben!$D$9))</f>
        <v/>
      </c>
      <c r="N16" s="8" t="str">
        <f aca="false">IF(Eingaben!$B$15="","",IF(Eingaben!$D$6="Ja",Eingaben!$F$6/2,Eingaben!$F$6))</f>
        <v/>
      </c>
      <c r="O16" s="8" t="str">
        <f aca="false">IF(Eingaben!$B$15="","",IF(N16&lt;=12348,0,IF(N16&lt;=17799,(914.51*((N16-12348)/10000)+1400)*((N16-12348)/10000),IF(N16&lt;=69878,(181.19*((N16-17799)/10000)+2397)*((N16-17799)/10000)+1025.38,IF(N16&lt;=277825,0.42*N16-10637.32,0.45*N16-18971.07)))))</f>
        <v/>
      </c>
      <c r="P16" s="8" t="str">
        <f aca="false">IF(Eingaben!$B$15="","",IF(Eingaben!$D$6="Ja",MAX(0,Eingaben!$F$6+I16)/2,MAX(0,Eingaben!$F$6+I16)))</f>
        <v/>
      </c>
      <c r="Q16" s="8" t="str">
        <f aca="false">IF(Eingaben!$B$15="","",IF(P16&lt;=12348,0,IF(P16&lt;=17799,(914.51*((P16-12348)/10000)+1400)*((P16-12348)/10000),IF(P16&lt;=69878,(181.19*((P16-17799)/10000)+2397)*((P16-17799)/10000)+1025.38,IF(P16&lt;=277825,0.42*P16-10637.32,0.45*P16-18971.07)))))</f>
        <v/>
      </c>
    </row>
    <row r="17" customFormat="false" ht="15" hidden="false" customHeight="false" outlineLevel="0" collapsed="false">
      <c r="A17" s="35" t="n">
        <v>2</v>
      </c>
      <c r="B17" s="29" t="str">
        <f aca="false">IF(Eingaben!$B$15="","",Cashflow!B17)</f>
        <v/>
      </c>
      <c r="C17" s="35" t="n">
        <v>3</v>
      </c>
      <c r="D17" s="36" t="str">
        <f aca="false">IF(Eingaben!$B$15="","",H16)</f>
        <v/>
      </c>
      <c r="E17" s="36" t="str">
        <f aca="false">IF(Eingaben!$B$15="","",MIN(D17,MAX(0,IF(Eingaben!$S$15="Ja",D17*Eingaben!$T$15,Eingaben!$AD$15*Eingaben!$Q$15))))</f>
        <v/>
      </c>
      <c r="F17" s="36" t="str">
        <f aca="false">IF(Eingaben!$B$15="","",MIN(MAX(0,IF(AND(Eingaben!$U$15="Ja",3&lt;=Eingaben!$W$15),Eingaben!$AD$15*Eingaben!$V$15,0)),MAX(0,D17-E17)))</f>
        <v/>
      </c>
      <c r="G17" s="36" t="str">
        <f aca="false">IF(Eingaben!$B$15="","",E17+F17)</f>
        <v/>
      </c>
      <c r="H17" s="36" t="str">
        <f aca="false">IF(Eingaben!$B$15="","",D17-G17)</f>
        <v/>
      </c>
      <c r="I17" s="36" t="str">
        <f aca="false">IF(Eingaben!$B$15="","",Cashflow!E17-Cashflow!G17-G17)</f>
        <v/>
      </c>
      <c r="J17" s="36" t="str">
        <f aca="false">IF(Eingaben!$B$15="","",IF(Eingaben!$D$6="Ja",2*MAX(0,O17),MAX(0,O17)))</f>
        <v/>
      </c>
      <c r="K17" s="36" t="str">
        <f aca="false">IF(Eingaben!$B$15="","",IF(Eingaben!$D$6="Ja",2*MAX(0,Q17),MAX(0,Q17)))</f>
        <v/>
      </c>
      <c r="L17" s="42" t="str">
        <f aca="false">IF(Eingaben!$B$15="","",IF(Eingaben!$D$5&gt;0,J17-K17,-I17*Eingaben!$D$9))</f>
        <v/>
      </c>
      <c r="N17" s="8" t="str">
        <f aca="false">IF(Eingaben!$B$15="","",IF(Eingaben!$D$6="Ja",Eingaben!$F$6/2,Eingaben!$F$6))</f>
        <v/>
      </c>
      <c r="O17" s="8" t="str">
        <f aca="false">IF(Eingaben!$B$15="","",IF(N17&lt;=12348,0,IF(N17&lt;=17799,(914.51*((N17-12348)/10000)+1400)*((N17-12348)/10000),IF(N17&lt;=69878,(181.19*((N17-17799)/10000)+2397)*((N17-17799)/10000)+1025.38,IF(N17&lt;=277825,0.42*N17-10637.32,0.45*N17-18971.07)))))</f>
        <v/>
      </c>
      <c r="P17" s="8" t="str">
        <f aca="false">IF(Eingaben!$B$15="","",IF(Eingaben!$D$6="Ja",MAX(0,Eingaben!$F$6+I17)/2,MAX(0,Eingaben!$F$6+I17)))</f>
        <v/>
      </c>
      <c r="Q17" s="8" t="str">
        <f aca="false">IF(Eingaben!$B$15="","",IF(P17&lt;=12348,0,IF(P17&lt;=17799,(914.51*((P17-12348)/10000)+1400)*((P17-12348)/10000),IF(P17&lt;=69878,(181.19*((P17-17799)/10000)+2397)*((P17-17799)/10000)+1025.38,IF(P17&lt;=277825,0.42*P17-10637.32,0.45*P17-18971.07)))))</f>
        <v/>
      </c>
    </row>
    <row r="18" customFormat="false" ht="15" hidden="false" customHeight="false" outlineLevel="0" collapsed="false">
      <c r="A18" s="35" t="n">
        <v>2</v>
      </c>
      <c r="B18" s="29" t="str">
        <f aca="false">IF(Eingaben!$B$15="","",Cashflow!B18)</f>
        <v/>
      </c>
      <c r="C18" s="35" t="n">
        <v>4</v>
      </c>
      <c r="D18" s="36" t="str">
        <f aca="false">IF(Eingaben!$B$15="","",H17)</f>
        <v/>
      </c>
      <c r="E18" s="36" t="str">
        <f aca="false">IF(Eingaben!$B$15="","",MIN(D18,MAX(0,IF(Eingaben!$S$15="Ja",D18*Eingaben!$T$15,Eingaben!$AD$15*Eingaben!$Q$15))))</f>
        <v/>
      </c>
      <c r="F18" s="36" t="str">
        <f aca="false">IF(Eingaben!$B$15="","",MIN(MAX(0,IF(AND(Eingaben!$U$15="Ja",4&lt;=Eingaben!$W$15),Eingaben!$AD$15*Eingaben!$V$15,0)),MAX(0,D18-E18)))</f>
        <v/>
      </c>
      <c r="G18" s="36" t="str">
        <f aca="false">IF(Eingaben!$B$15="","",E18+F18)</f>
        <v/>
      </c>
      <c r="H18" s="36" t="str">
        <f aca="false">IF(Eingaben!$B$15="","",D18-G18)</f>
        <v/>
      </c>
      <c r="I18" s="36" t="str">
        <f aca="false">IF(Eingaben!$B$15="","",Cashflow!E18-Cashflow!G18-G18)</f>
        <v/>
      </c>
      <c r="J18" s="36" t="str">
        <f aca="false">IF(Eingaben!$B$15="","",IF(Eingaben!$D$6="Ja",2*MAX(0,O18),MAX(0,O18)))</f>
        <v/>
      </c>
      <c r="K18" s="36" t="str">
        <f aca="false">IF(Eingaben!$B$15="","",IF(Eingaben!$D$6="Ja",2*MAX(0,Q18),MAX(0,Q18)))</f>
        <v/>
      </c>
      <c r="L18" s="42" t="str">
        <f aca="false">IF(Eingaben!$B$15="","",IF(Eingaben!$D$5&gt;0,J18-K18,-I18*Eingaben!$D$9))</f>
        <v/>
      </c>
      <c r="N18" s="8" t="str">
        <f aca="false">IF(Eingaben!$B$15="","",IF(Eingaben!$D$6="Ja",Eingaben!$F$6/2,Eingaben!$F$6))</f>
        <v/>
      </c>
      <c r="O18" s="8" t="str">
        <f aca="false">IF(Eingaben!$B$15="","",IF(N18&lt;=12348,0,IF(N18&lt;=17799,(914.51*((N18-12348)/10000)+1400)*((N18-12348)/10000),IF(N18&lt;=69878,(181.19*((N18-17799)/10000)+2397)*((N18-17799)/10000)+1025.38,IF(N18&lt;=277825,0.42*N18-10637.32,0.45*N18-18971.07)))))</f>
        <v/>
      </c>
      <c r="P18" s="8" t="str">
        <f aca="false">IF(Eingaben!$B$15="","",IF(Eingaben!$D$6="Ja",MAX(0,Eingaben!$F$6+I18)/2,MAX(0,Eingaben!$F$6+I18)))</f>
        <v/>
      </c>
      <c r="Q18" s="8" t="str">
        <f aca="false">IF(Eingaben!$B$15="","",IF(P18&lt;=12348,0,IF(P18&lt;=17799,(914.51*((P18-12348)/10000)+1400)*((P18-12348)/10000),IF(P18&lt;=69878,(181.19*((P18-17799)/10000)+2397)*((P18-17799)/10000)+1025.38,IF(P18&lt;=277825,0.42*P18-10637.32,0.45*P18-18971.07)))))</f>
        <v/>
      </c>
    </row>
    <row r="19" customFormat="false" ht="15" hidden="false" customHeight="false" outlineLevel="0" collapsed="false">
      <c r="A19" s="35" t="n">
        <v>2</v>
      </c>
      <c r="B19" s="29" t="str">
        <f aca="false">IF(Eingaben!$B$15="","",Cashflow!B19)</f>
        <v/>
      </c>
      <c r="C19" s="35" t="n">
        <v>5</v>
      </c>
      <c r="D19" s="36" t="str">
        <f aca="false">IF(Eingaben!$B$15="","",H18)</f>
        <v/>
      </c>
      <c r="E19" s="36" t="str">
        <f aca="false">IF(Eingaben!$B$15="","",MIN(D19,MAX(0,IF(Eingaben!$S$15="Ja",D19*Eingaben!$T$15,Eingaben!$AD$15*Eingaben!$Q$15))))</f>
        <v/>
      </c>
      <c r="F19" s="36" t="str">
        <f aca="false">IF(Eingaben!$B$15="","",MIN(MAX(0,IF(AND(Eingaben!$U$15="Ja",5&lt;=Eingaben!$W$15),Eingaben!$AD$15*Eingaben!$V$15,0)),MAX(0,D19-E19)))</f>
        <v/>
      </c>
      <c r="G19" s="36" t="str">
        <f aca="false">IF(Eingaben!$B$15="","",E19+F19)</f>
        <v/>
      </c>
      <c r="H19" s="36" t="str">
        <f aca="false">IF(Eingaben!$B$15="","",D19-G19)</f>
        <v/>
      </c>
      <c r="I19" s="36" t="str">
        <f aca="false">IF(Eingaben!$B$15="","",Cashflow!E19-Cashflow!G19-G19)</f>
        <v/>
      </c>
      <c r="J19" s="36" t="str">
        <f aca="false">IF(Eingaben!$B$15="","",IF(Eingaben!$D$6="Ja",2*MAX(0,O19),MAX(0,O19)))</f>
        <v/>
      </c>
      <c r="K19" s="36" t="str">
        <f aca="false">IF(Eingaben!$B$15="","",IF(Eingaben!$D$6="Ja",2*MAX(0,Q19),MAX(0,Q19)))</f>
        <v/>
      </c>
      <c r="L19" s="42" t="str">
        <f aca="false">IF(Eingaben!$B$15="","",IF(Eingaben!$D$5&gt;0,J19-K19,-I19*Eingaben!$D$9))</f>
        <v/>
      </c>
      <c r="N19" s="8" t="str">
        <f aca="false">IF(Eingaben!$B$15="","",IF(Eingaben!$D$6="Ja",Eingaben!$F$6/2,Eingaben!$F$6))</f>
        <v/>
      </c>
      <c r="O19" s="8" t="str">
        <f aca="false">IF(Eingaben!$B$15="","",IF(N19&lt;=12348,0,IF(N19&lt;=17799,(914.51*((N19-12348)/10000)+1400)*((N19-12348)/10000),IF(N19&lt;=69878,(181.19*((N19-17799)/10000)+2397)*((N19-17799)/10000)+1025.38,IF(N19&lt;=277825,0.42*N19-10637.32,0.45*N19-18971.07)))))</f>
        <v/>
      </c>
      <c r="P19" s="8" t="str">
        <f aca="false">IF(Eingaben!$B$15="","",IF(Eingaben!$D$6="Ja",MAX(0,Eingaben!$F$6+I19)/2,MAX(0,Eingaben!$F$6+I19)))</f>
        <v/>
      </c>
      <c r="Q19" s="8" t="str">
        <f aca="false">IF(Eingaben!$B$15="","",IF(P19&lt;=12348,0,IF(P19&lt;=17799,(914.51*((P19-12348)/10000)+1400)*((P19-12348)/10000),IF(P19&lt;=69878,(181.19*((P19-17799)/10000)+2397)*((P19-17799)/10000)+1025.38,IF(P19&lt;=277825,0.42*P19-10637.32,0.45*P19-18971.07)))))</f>
        <v/>
      </c>
    </row>
    <row r="20" customFormat="false" ht="15" hidden="false" customHeight="false" outlineLevel="0" collapsed="false">
      <c r="A20" s="35" t="n">
        <v>2</v>
      </c>
      <c r="B20" s="29" t="str">
        <f aca="false">IF(Eingaben!$B$15="","",Cashflow!B20)</f>
        <v/>
      </c>
      <c r="C20" s="35" t="n">
        <v>6</v>
      </c>
      <c r="D20" s="36" t="str">
        <f aca="false">IF(Eingaben!$B$15="","",H19)</f>
        <v/>
      </c>
      <c r="E20" s="36" t="str">
        <f aca="false">IF(Eingaben!$B$15="","",MIN(D20,MAX(0,IF(Eingaben!$S$15="Ja",D20*Eingaben!$T$15,Eingaben!$AD$15*Eingaben!$Q$15))))</f>
        <v/>
      </c>
      <c r="F20" s="36" t="str">
        <f aca="false">IF(Eingaben!$B$15="","",MIN(MAX(0,IF(AND(Eingaben!$U$15="Ja",6&lt;=Eingaben!$W$15),Eingaben!$AD$15*Eingaben!$V$15,0)),MAX(0,D20-E20)))</f>
        <v/>
      </c>
      <c r="G20" s="36" t="str">
        <f aca="false">IF(Eingaben!$B$15="","",E20+F20)</f>
        <v/>
      </c>
      <c r="H20" s="36" t="str">
        <f aca="false">IF(Eingaben!$B$15="","",D20-G20)</f>
        <v/>
      </c>
      <c r="I20" s="36" t="str">
        <f aca="false">IF(Eingaben!$B$15="","",Cashflow!E20-Cashflow!G20-G20)</f>
        <v/>
      </c>
      <c r="J20" s="36" t="str">
        <f aca="false">IF(Eingaben!$B$15="","",IF(Eingaben!$D$6="Ja",2*MAX(0,O20),MAX(0,O20)))</f>
        <v/>
      </c>
      <c r="K20" s="36" t="str">
        <f aca="false">IF(Eingaben!$B$15="","",IF(Eingaben!$D$6="Ja",2*MAX(0,Q20),MAX(0,Q20)))</f>
        <v/>
      </c>
      <c r="L20" s="42" t="str">
        <f aca="false">IF(Eingaben!$B$15="","",IF(Eingaben!$D$5&gt;0,J20-K20,-I20*Eingaben!$D$9))</f>
        <v/>
      </c>
      <c r="N20" s="8" t="str">
        <f aca="false">IF(Eingaben!$B$15="","",IF(Eingaben!$D$6="Ja",Eingaben!$F$6/2,Eingaben!$F$6))</f>
        <v/>
      </c>
      <c r="O20" s="8" t="str">
        <f aca="false">IF(Eingaben!$B$15="","",IF(N20&lt;=12348,0,IF(N20&lt;=17799,(914.51*((N20-12348)/10000)+1400)*((N20-12348)/10000),IF(N20&lt;=69878,(181.19*((N20-17799)/10000)+2397)*((N20-17799)/10000)+1025.38,IF(N20&lt;=277825,0.42*N20-10637.32,0.45*N20-18971.07)))))</f>
        <v/>
      </c>
      <c r="P20" s="8" t="str">
        <f aca="false">IF(Eingaben!$B$15="","",IF(Eingaben!$D$6="Ja",MAX(0,Eingaben!$F$6+I20)/2,MAX(0,Eingaben!$F$6+I20)))</f>
        <v/>
      </c>
      <c r="Q20" s="8" t="str">
        <f aca="false">IF(Eingaben!$B$15="","",IF(P20&lt;=12348,0,IF(P20&lt;=17799,(914.51*((P20-12348)/10000)+1400)*((P20-12348)/10000),IF(P20&lt;=69878,(181.19*((P20-17799)/10000)+2397)*((P20-17799)/10000)+1025.38,IF(P20&lt;=277825,0.42*P20-10637.32,0.45*P20-18971.07)))))</f>
        <v/>
      </c>
    </row>
    <row r="21" customFormat="false" ht="15" hidden="false" customHeight="false" outlineLevel="0" collapsed="false">
      <c r="A21" s="35" t="n">
        <v>2</v>
      </c>
      <c r="B21" s="29" t="str">
        <f aca="false">IF(Eingaben!$B$15="","",Cashflow!B21)</f>
        <v/>
      </c>
      <c r="C21" s="35" t="n">
        <v>7</v>
      </c>
      <c r="D21" s="36" t="str">
        <f aca="false">IF(Eingaben!$B$15="","",H20)</f>
        <v/>
      </c>
      <c r="E21" s="36" t="str">
        <f aca="false">IF(Eingaben!$B$15="","",MIN(D21,MAX(0,IF(Eingaben!$S$15="Ja",D21*Eingaben!$T$15,Eingaben!$AD$15*Eingaben!$Q$15))))</f>
        <v/>
      </c>
      <c r="F21" s="36" t="str">
        <f aca="false">IF(Eingaben!$B$15="","",MIN(MAX(0,IF(AND(Eingaben!$U$15="Ja",7&lt;=Eingaben!$W$15),Eingaben!$AD$15*Eingaben!$V$15,0)),MAX(0,D21-E21)))</f>
        <v/>
      </c>
      <c r="G21" s="36" t="str">
        <f aca="false">IF(Eingaben!$B$15="","",E21+F21)</f>
        <v/>
      </c>
      <c r="H21" s="36" t="str">
        <f aca="false">IF(Eingaben!$B$15="","",D21-G21)</f>
        <v/>
      </c>
      <c r="I21" s="36" t="str">
        <f aca="false">IF(Eingaben!$B$15="","",Cashflow!E21-Cashflow!G21-G21)</f>
        <v/>
      </c>
      <c r="J21" s="36" t="str">
        <f aca="false">IF(Eingaben!$B$15="","",IF(Eingaben!$D$6="Ja",2*MAX(0,O21),MAX(0,O21)))</f>
        <v/>
      </c>
      <c r="K21" s="36" t="str">
        <f aca="false">IF(Eingaben!$B$15="","",IF(Eingaben!$D$6="Ja",2*MAX(0,Q21),MAX(0,Q21)))</f>
        <v/>
      </c>
      <c r="L21" s="42" t="str">
        <f aca="false">IF(Eingaben!$B$15="","",IF(Eingaben!$D$5&gt;0,J21-K21,-I21*Eingaben!$D$9))</f>
        <v/>
      </c>
      <c r="N21" s="8" t="str">
        <f aca="false">IF(Eingaben!$B$15="","",IF(Eingaben!$D$6="Ja",Eingaben!$F$6/2,Eingaben!$F$6))</f>
        <v/>
      </c>
      <c r="O21" s="8" t="str">
        <f aca="false">IF(Eingaben!$B$15="","",IF(N21&lt;=12348,0,IF(N21&lt;=17799,(914.51*((N21-12348)/10000)+1400)*((N21-12348)/10000),IF(N21&lt;=69878,(181.19*((N21-17799)/10000)+2397)*((N21-17799)/10000)+1025.38,IF(N21&lt;=277825,0.42*N21-10637.32,0.45*N21-18971.07)))))</f>
        <v/>
      </c>
      <c r="P21" s="8" t="str">
        <f aca="false">IF(Eingaben!$B$15="","",IF(Eingaben!$D$6="Ja",MAX(0,Eingaben!$F$6+I21)/2,MAX(0,Eingaben!$F$6+I21)))</f>
        <v/>
      </c>
      <c r="Q21" s="8" t="str">
        <f aca="false">IF(Eingaben!$B$15="","",IF(P21&lt;=12348,0,IF(P21&lt;=17799,(914.51*((P21-12348)/10000)+1400)*((P21-12348)/10000),IF(P21&lt;=69878,(181.19*((P21-17799)/10000)+2397)*((P21-17799)/10000)+1025.38,IF(P21&lt;=277825,0.42*P21-10637.32,0.45*P21-18971.07)))))</f>
        <v/>
      </c>
    </row>
    <row r="22" customFormat="false" ht="15" hidden="false" customHeight="false" outlineLevel="0" collapsed="false">
      <c r="A22" s="35" t="n">
        <v>2</v>
      </c>
      <c r="B22" s="29" t="str">
        <f aca="false">IF(Eingaben!$B$15="","",Cashflow!B22)</f>
        <v/>
      </c>
      <c r="C22" s="35" t="n">
        <v>8</v>
      </c>
      <c r="D22" s="36" t="str">
        <f aca="false">IF(Eingaben!$B$15="","",H21)</f>
        <v/>
      </c>
      <c r="E22" s="36" t="str">
        <f aca="false">IF(Eingaben!$B$15="","",MIN(D22,MAX(0,IF(Eingaben!$S$15="Ja",D22*Eingaben!$T$15,Eingaben!$AD$15*Eingaben!$Q$15))))</f>
        <v/>
      </c>
      <c r="F22" s="36" t="str">
        <f aca="false">IF(Eingaben!$B$15="","",MIN(MAX(0,IF(AND(Eingaben!$U$15="Ja",8&lt;=Eingaben!$W$15),Eingaben!$AD$15*Eingaben!$V$15,0)),MAX(0,D22-E22)))</f>
        <v/>
      </c>
      <c r="G22" s="36" t="str">
        <f aca="false">IF(Eingaben!$B$15="","",E22+F22)</f>
        <v/>
      </c>
      <c r="H22" s="36" t="str">
        <f aca="false">IF(Eingaben!$B$15="","",D22-G22)</f>
        <v/>
      </c>
      <c r="I22" s="36" t="str">
        <f aca="false">IF(Eingaben!$B$15="","",Cashflow!E22-Cashflow!G22-G22)</f>
        <v/>
      </c>
      <c r="J22" s="36" t="str">
        <f aca="false">IF(Eingaben!$B$15="","",IF(Eingaben!$D$6="Ja",2*MAX(0,O22),MAX(0,O22)))</f>
        <v/>
      </c>
      <c r="K22" s="36" t="str">
        <f aca="false">IF(Eingaben!$B$15="","",IF(Eingaben!$D$6="Ja",2*MAX(0,Q22),MAX(0,Q22)))</f>
        <v/>
      </c>
      <c r="L22" s="42" t="str">
        <f aca="false">IF(Eingaben!$B$15="","",IF(Eingaben!$D$5&gt;0,J22-K22,-I22*Eingaben!$D$9))</f>
        <v/>
      </c>
      <c r="N22" s="8" t="str">
        <f aca="false">IF(Eingaben!$B$15="","",IF(Eingaben!$D$6="Ja",Eingaben!$F$6/2,Eingaben!$F$6))</f>
        <v/>
      </c>
      <c r="O22" s="8" t="str">
        <f aca="false">IF(Eingaben!$B$15="","",IF(N22&lt;=12348,0,IF(N22&lt;=17799,(914.51*((N22-12348)/10000)+1400)*((N22-12348)/10000),IF(N22&lt;=69878,(181.19*((N22-17799)/10000)+2397)*((N22-17799)/10000)+1025.38,IF(N22&lt;=277825,0.42*N22-10637.32,0.45*N22-18971.07)))))</f>
        <v/>
      </c>
      <c r="P22" s="8" t="str">
        <f aca="false">IF(Eingaben!$B$15="","",IF(Eingaben!$D$6="Ja",MAX(0,Eingaben!$F$6+I22)/2,MAX(0,Eingaben!$F$6+I22)))</f>
        <v/>
      </c>
      <c r="Q22" s="8" t="str">
        <f aca="false">IF(Eingaben!$B$15="","",IF(P22&lt;=12348,0,IF(P22&lt;=17799,(914.51*((P22-12348)/10000)+1400)*((P22-12348)/10000),IF(P22&lt;=69878,(181.19*((P22-17799)/10000)+2397)*((P22-17799)/10000)+1025.38,IF(P22&lt;=277825,0.42*P22-10637.32,0.45*P22-18971.07)))))</f>
        <v/>
      </c>
    </row>
    <row r="23" customFormat="false" ht="15" hidden="false" customHeight="false" outlineLevel="0" collapsed="false">
      <c r="A23" s="35" t="n">
        <v>2</v>
      </c>
      <c r="B23" s="29" t="str">
        <f aca="false">IF(Eingaben!$B$15="","",Cashflow!B23)</f>
        <v/>
      </c>
      <c r="C23" s="35" t="n">
        <v>9</v>
      </c>
      <c r="D23" s="36" t="str">
        <f aca="false">IF(Eingaben!$B$15="","",H22)</f>
        <v/>
      </c>
      <c r="E23" s="36" t="str">
        <f aca="false">IF(Eingaben!$B$15="","",MIN(D23,MAX(0,IF(Eingaben!$S$15="Ja",D23*Eingaben!$T$15,Eingaben!$AD$15*Eingaben!$Q$15))))</f>
        <v/>
      </c>
      <c r="F23" s="36" t="str">
        <f aca="false">IF(Eingaben!$B$15="","",MIN(MAX(0,IF(AND(Eingaben!$U$15="Ja",9&lt;=Eingaben!$W$15),Eingaben!$AD$15*Eingaben!$V$15,0)),MAX(0,D23-E23)))</f>
        <v/>
      </c>
      <c r="G23" s="36" t="str">
        <f aca="false">IF(Eingaben!$B$15="","",E23+F23)</f>
        <v/>
      </c>
      <c r="H23" s="36" t="str">
        <f aca="false">IF(Eingaben!$B$15="","",D23-G23)</f>
        <v/>
      </c>
      <c r="I23" s="36" t="str">
        <f aca="false">IF(Eingaben!$B$15="","",Cashflow!E23-Cashflow!G23-G23)</f>
        <v/>
      </c>
      <c r="J23" s="36" t="str">
        <f aca="false">IF(Eingaben!$B$15="","",IF(Eingaben!$D$6="Ja",2*MAX(0,O23),MAX(0,O23)))</f>
        <v/>
      </c>
      <c r="K23" s="36" t="str">
        <f aca="false">IF(Eingaben!$B$15="","",IF(Eingaben!$D$6="Ja",2*MAX(0,Q23),MAX(0,Q23)))</f>
        <v/>
      </c>
      <c r="L23" s="42" t="str">
        <f aca="false">IF(Eingaben!$B$15="","",IF(Eingaben!$D$5&gt;0,J23-K23,-I23*Eingaben!$D$9))</f>
        <v/>
      </c>
      <c r="N23" s="8" t="str">
        <f aca="false">IF(Eingaben!$B$15="","",IF(Eingaben!$D$6="Ja",Eingaben!$F$6/2,Eingaben!$F$6))</f>
        <v/>
      </c>
      <c r="O23" s="8" t="str">
        <f aca="false">IF(Eingaben!$B$15="","",IF(N23&lt;=12348,0,IF(N23&lt;=17799,(914.51*((N23-12348)/10000)+1400)*((N23-12348)/10000),IF(N23&lt;=69878,(181.19*((N23-17799)/10000)+2397)*((N23-17799)/10000)+1025.38,IF(N23&lt;=277825,0.42*N23-10637.32,0.45*N23-18971.07)))))</f>
        <v/>
      </c>
      <c r="P23" s="8" t="str">
        <f aca="false">IF(Eingaben!$B$15="","",IF(Eingaben!$D$6="Ja",MAX(0,Eingaben!$F$6+I23)/2,MAX(0,Eingaben!$F$6+I23)))</f>
        <v/>
      </c>
      <c r="Q23" s="8" t="str">
        <f aca="false">IF(Eingaben!$B$15="","",IF(P23&lt;=12348,0,IF(P23&lt;=17799,(914.51*((P23-12348)/10000)+1400)*((P23-12348)/10000),IF(P23&lt;=69878,(181.19*((P23-17799)/10000)+2397)*((P23-17799)/10000)+1025.38,IF(P23&lt;=277825,0.42*P23-10637.32,0.45*P23-18971.07)))))</f>
        <v/>
      </c>
    </row>
    <row r="24" customFormat="false" ht="15" hidden="false" customHeight="false" outlineLevel="0" collapsed="false">
      <c r="A24" s="35" t="n">
        <v>2</v>
      </c>
      <c r="B24" s="29" t="str">
        <f aca="false">IF(Eingaben!$B$15="","",Cashflow!B24)</f>
        <v/>
      </c>
      <c r="C24" s="35" t="n">
        <v>10</v>
      </c>
      <c r="D24" s="36" t="str">
        <f aca="false">IF(Eingaben!$B$15="","",H23)</f>
        <v/>
      </c>
      <c r="E24" s="36" t="str">
        <f aca="false">IF(Eingaben!$B$15="","",MIN(D24,MAX(0,IF(Eingaben!$S$15="Ja",D24*Eingaben!$T$15,Eingaben!$AD$15*Eingaben!$Q$15))))</f>
        <v/>
      </c>
      <c r="F24" s="36" t="str">
        <f aca="false">IF(Eingaben!$B$15="","",MIN(MAX(0,IF(AND(Eingaben!$U$15="Ja",10&lt;=Eingaben!$W$15),Eingaben!$AD$15*Eingaben!$V$15,0)),MAX(0,D24-E24)))</f>
        <v/>
      </c>
      <c r="G24" s="36" t="str">
        <f aca="false">IF(Eingaben!$B$15="","",E24+F24)</f>
        <v/>
      </c>
      <c r="H24" s="36" t="str">
        <f aca="false">IF(Eingaben!$B$15="","",D24-G24)</f>
        <v/>
      </c>
      <c r="I24" s="36" t="str">
        <f aca="false">IF(Eingaben!$B$15="","",Cashflow!E24-Cashflow!G24-G24)</f>
        <v/>
      </c>
      <c r="J24" s="36" t="str">
        <f aca="false">IF(Eingaben!$B$15="","",IF(Eingaben!$D$6="Ja",2*MAX(0,O24),MAX(0,O24)))</f>
        <v/>
      </c>
      <c r="K24" s="36" t="str">
        <f aca="false">IF(Eingaben!$B$15="","",IF(Eingaben!$D$6="Ja",2*MAX(0,Q24),MAX(0,Q24)))</f>
        <v/>
      </c>
      <c r="L24" s="42" t="str">
        <f aca="false">IF(Eingaben!$B$15="","",IF(Eingaben!$D$5&gt;0,J24-K24,-I24*Eingaben!$D$9))</f>
        <v/>
      </c>
      <c r="N24" s="8" t="str">
        <f aca="false">IF(Eingaben!$B$15="","",IF(Eingaben!$D$6="Ja",Eingaben!$F$6/2,Eingaben!$F$6))</f>
        <v/>
      </c>
      <c r="O24" s="8" t="str">
        <f aca="false">IF(Eingaben!$B$15="","",IF(N24&lt;=12348,0,IF(N24&lt;=17799,(914.51*((N24-12348)/10000)+1400)*((N24-12348)/10000),IF(N24&lt;=69878,(181.19*((N24-17799)/10000)+2397)*((N24-17799)/10000)+1025.38,IF(N24&lt;=277825,0.42*N24-10637.32,0.45*N24-18971.07)))))</f>
        <v/>
      </c>
      <c r="P24" s="8" t="str">
        <f aca="false">IF(Eingaben!$B$15="","",IF(Eingaben!$D$6="Ja",MAX(0,Eingaben!$F$6+I24)/2,MAX(0,Eingaben!$F$6+I24)))</f>
        <v/>
      </c>
      <c r="Q24" s="8" t="str">
        <f aca="false">IF(Eingaben!$B$15="","",IF(P24&lt;=12348,0,IF(P24&lt;=17799,(914.51*((P24-12348)/10000)+1400)*((P24-12348)/10000),IF(P24&lt;=69878,(181.19*((P24-17799)/10000)+2397)*((P24-17799)/10000)+1025.38,IF(P24&lt;=277825,0.42*P24-10637.32,0.45*P24-18971.07)))))</f>
        <v/>
      </c>
    </row>
    <row r="25" customFormat="false" ht="15" hidden="false" customHeight="false" outlineLevel="0" collapsed="false">
      <c r="A25" s="28" t="n">
        <v>3</v>
      </c>
      <c r="B25" s="29" t="str">
        <f aca="false">IF(Eingaben!$B$16="","",Cashflow!B25)</f>
        <v/>
      </c>
      <c r="C25" s="28" t="n">
        <v>1</v>
      </c>
      <c r="D25" s="31" t="str">
        <f aca="false">IF(Eingaben!$B$16="","",Eingaben!$AD$16)</f>
        <v/>
      </c>
      <c r="E25" s="31" t="str">
        <f aca="false">IF(Eingaben!$B$16="","",MIN(D25,MAX(0,IF(Eingaben!$S$16="Ja",D25*Eingaben!$T$16,Eingaben!$AD$16*Eingaben!$Q$16))))</f>
        <v/>
      </c>
      <c r="F25" s="31" t="str">
        <f aca="false">IF(Eingaben!$B$16="","",MIN(MAX(0,IF(AND(Eingaben!$U$16="Ja",1&lt;=Eingaben!$W$16),Eingaben!$AD$16*Eingaben!$V$16,0)),MAX(0,D25-E25)))</f>
        <v/>
      </c>
      <c r="G25" s="31" t="str">
        <f aca="false">IF(Eingaben!$B$16="","",E25+F25)</f>
        <v/>
      </c>
      <c r="H25" s="31" t="str">
        <f aca="false">IF(Eingaben!$B$16="","",D25-G25)</f>
        <v/>
      </c>
      <c r="I25" s="31" t="str">
        <f aca="false">IF(Eingaben!$B$16="","",Cashflow!E25-Cashflow!G25-G25)</f>
        <v/>
      </c>
      <c r="J25" s="31" t="str">
        <f aca="false">IF(Eingaben!$B$16="","",IF(Eingaben!$D$6="Ja",2*MAX(0,O25),MAX(0,O25)))</f>
        <v/>
      </c>
      <c r="K25" s="31" t="str">
        <f aca="false">IF(Eingaben!$B$16="","",IF(Eingaben!$D$6="Ja",2*MAX(0,Q25),MAX(0,Q25)))</f>
        <v/>
      </c>
      <c r="L25" s="40" t="str">
        <f aca="false">IF(Eingaben!$B$16="","",IF(Eingaben!$D$5&gt;0,J25-K25,-I25*Eingaben!$D$9))</f>
        <v/>
      </c>
      <c r="N25" s="8" t="str">
        <f aca="false">IF(Eingaben!$B$16="","",IF(Eingaben!$D$6="Ja",Eingaben!$F$6/2,Eingaben!$F$6))</f>
        <v/>
      </c>
      <c r="O25" s="8" t="str">
        <f aca="false">IF(Eingaben!$B$16="","",IF(N25&lt;=12348,0,IF(N25&lt;=17799,(914.51*((N25-12348)/10000)+1400)*((N25-12348)/10000),IF(N25&lt;=69878,(181.19*((N25-17799)/10000)+2397)*((N25-17799)/10000)+1025.38,IF(N25&lt;=277825,0.42*N25-10637.32,0.45*N25-18971.07)))))</f>
        <v/>
      </c>
      <c r="P25" s="8" t="str">
        <f aca="false">IF(Eingaben!$B$16="","",IF(Eingaben!$D$6="Ja",MAX(0,Eingaben!$F$6+I25)/2,MAX(0,Eingaben!$F$6+I25)))</f>
        <v/>
      </c>
      <c r="Q25" s="8" t="str">
        <f aca="false">IF(Eingaben!$B$16="","",IF(P25&lt;=12348,0,IF(P25&lt;=17799,(914.51*((P25-12348)/10000)+1400)*((P25-12348)/10000),IF(P25&lt;=69878,(181.19*((P25-17799)/10000)+2397)*((P25-17799)/10000)+1025.38,IF(P25&lt;=277825,0.42*P25-10637.32,0.45*P25-18971.07)))))</f>
        <v/>
      </c>
    </row>
    <row r="26" customFormat="false" ht="15" hidden="false" customHeight="false" outlineLevel="0" collapsed="false">
      <c r="A26" s="28" t="n">
        <v>3</v>
      </c>
      <c r="B26" s="29" t="str">
        <f aca="false">IF(Eingaben!$B$16="","",Cashflow!B26)</f>
        <v/>
      </c>
      <c r="C26" s="28" t="n">
        <v>2</v>
      </c>
      <c r="D26" s="31" t="str">
        <f aca="false">IF(Eingaben!$B$16="","",H25)</f>
        <v/>
      </c>
      <c r="E26" s="31" t="str">
        <f aca="false">IF(Eingaben!$B$16="","",MIN(D26,MAX(0,IF(Eingaben!$S$16="Ja",D26*Eingaben!$T$16,Eingaben!$AD$16*Eingaben!$Q$16))))</f>
        <v/>
      </c>
      <c r="F26" s="31" t="str">
        <f aca="false">IF(Eingaben!$B$16="","",MIN(MAX(0,IF(AND(Eingaben!$U$16="Ja",2&lt;=Eingaben!$W$16),Eingaben!$AD$16*Eingaben!$V$16,0)),MAX(0,D26-E26)))</f>
        <v/>
      </c>
      <c r="G26" s="31" t="str">
        <f aca="false">IF(Eingaben!$B$16="","",E26+F26)</f>
        <v/>
      </c>
      <c r="H26" s="31" t="str">
        <f aca="false">IF(Eingaben!$B$16="","",D26-G26)</f>
        <v/>
      </c>
      <c r="I26" s="31" t="str">
        <f aca="false">IF(Eingaben!$B$16="","",Cashflow!E26-Cashflow!G26-G26)</f>
        <v/>
      </c>
      <c r="J26" s="31" t="str">
        <f aca="false">IF(Eingaben!$B$16="","",IF(Eingaben!$D$6="Ja",2*MAX(0,O26),MAX(0,O26)))</f>
        <v/>
      </c>
      <c r="K26" s="31" t="str">
        <f aca="false">IF(Eingaben!$B$16="","",IF(Eingaben!$D$6="Ja",2*MAX(0,Q26),MAX(0,Q26)))</f>
        <v/>
      </c>
      <c r="L26" s="40" t="str">
        <f aca="false">IF(Eingaben!$B$16="","",IF(Eingaben!$D$5&gt;0,J26-K26,-I26*Eingaben!$D$9))</f>
        <v/>
      </c>
      <c r="N26" s="8" t="str">
        <f aca="false">IF(Eingaben!$B$16="","",IF(Eingaben!$D$6="Ja",Eingaben!$F$6/2,Eingaben!$F$6))</f>
        <v/>
      </c>
      <c r="O26" s="8" t="str">
        <f aca="false">IF(Eingaben!$B$16="","",IF(N26&lt;=12348,0,IF(N26&lt;=17799,(914.51*((N26-12348)/10000)+1400)*((N26-12348)/10000),IF(N26&lt;=69878,(181.19*((N26-17799)/10000)+2397)*((N26-17799)/10000)+1025.38,IF(N26&lt;=277825,0.42*N26-10637.32,0.45*N26-18971.07)))))</f>
        <v/>
      </c>
      <c r="P26" s="8" t="str">
        <f aca="false">IF(Eingaben!$B$16="","",IF(Eingaben!$D$6="Ja",MAX(0,Eingaben!$F$6+I26)/2,MAX(0,Eingaben!$F$6+I26)))</f>
        <v/>
      </c>
      <c r="Q26" s="8" t="str">
        <f aca="false">IF(Eingaben!$B$16="","",IF(P26&lt;=12348,0,IF(P26&lt;=17799,(914.51*((P26-12348)/10000)+1400)*((P26-12348)/10000),IF(P26&lt;=69878,(181.19*((P26-17799)/10000)+2397)*((P26-17799)/10000)+1025.38,IF(P26&lt;=277825,0.42*P26-10637.32,0.45*P26-18971.07)))))</f>
        <v/>
      </c>
    </row>
    <row r="27" customFormat="false" ht="15" hidden="false" customHeight="false" outlineLevel="0" collapsed="false">
      <c r="A27" s="28" t="n">
        <v>3</v>
      </c>
      <c r="B27" s="29" t="str">
        <f aca="false">IF(Eingaben!$B$16="","",Cashflow!B27)</f>
        <v/>
      </c>
      <c r="C27" s="28" t="n">
        <v>3</v>
      </c>
      <c r="D27" s="31" t="str">
        <f aca="false">IF(Eingaben!$B$16="","",H26)</f>
        <v/>
      </c>
      <c r="E27" s="31" t="str">
        <f aca="false">IF(Eingaben!$B$16="","",MIN(D27,MAX(0,IF(Eingaben!$S$16="Ja",D27*Eingaben!$T$16,Eingaben!$AD$16*Eingaben!$Q$16))))</f>
        <v/>
      </c>
      <c r="F27" s="31" t="str">
        <f aca="false">IF(Eingaben!$B$16="","",MIN(MAX(0,IF(AND(Eingaben!$U$16="Ja",3&lt;=Eingaben!$W$16),Eingaben!$AD$16*Eingaben!$V$16,0)),MAX(0,D27-E27)))</f>
        <v/>
      </c>
      <c r="G27" s="31" t="str">
        <f aca="false">IF(Eingaben!$B$16="","",E27+F27)</f>
        <v/>
      </c>
      <c r="H27" s="31" t="str">
        <f aca="false">IF(Eingaben!$B$16="","",D27-G27)</f>
        <v/>
      </c>
      <c r="I27" s="31" t="str">
        <f aca="false">IF(Eingaben!$B$16="","",Cashflow!E27-Cashflow!G27-G27)</f>
        <v/>
      </c>
      <c r="J27" s="31" t="str">
        <f aca="false">IF(Eingaben!$B$16="","",IF(Eingaben!$D$6="Ja",2*MAX(0,O27),MAX(0,O27)))</f>
        <v/>
      </c>
      <c r="K27" s="31" t="str">
        <f aca="false">IF(Eingaben!$B$16="","",IF(Eingaben!$D$6="Ja",2*MAX(0,Q27),MAX(0,Q27)))</f>
        <v/>
      </c>
      <c r="L27" s="40" t="str">
        <f aca="false">IF(Eingaben!$B$16="","",IF(Eingaben!$D$5&gt;0,J27-K27,-I27*Eingaben!$D$9))</f>
        <v/>
      </c>
      <c r="N27" s="8" t="str">
        <f aca="false">IF(Eingaben!$B$16="","",IF(Eingaben!$D$6="Ja",Eingaben!$F$6/2,Eingaben!$F$6))</f>
        <v/>
      </c>
      <c r="O27" s="8" t="str">
        <f aca="false">IF(Eingaben!$B$16="","",IF(N27&lt;=12348,0,IF(N27&lt;=17799,(914.51*((N27-12348)/10000)+1400)*((N27-12348)/10000),IF(N27&lt;=69878,(181.19*((N27-17799)/10000)+2397)*((N27-17799)/10000)+1025.38,IF(N27&lt;=277825,0.42*N27-10637.32,0.45*N27-18971.07)))))</f>
        <v/>
      </c>
      <c r="P27" s="8" t="str">
        <f aca="false">IF(Eingaben!$B$16="","",IF(Eingaben!$D$6="Ja",MAX(0,Eingaben!$F$6+I27)/2,MAX(0,Eingaben!$F$6+I27)))</f>
        <v/>
      </c>
      <c r="Q27" s="8" t="str">
        <f aca="false">IF(Eingaben!$B$16="","",IF(P27&lt;=12348,0,IF(P27&lt;=17799,(914.51*((P27-12348)/10000)+1400)*((P27-12348)/10000),IF(P27&lt;=69878,(181.19*((P27-17799)/10000)+2397)*((P27-17799)/10000)+1025.38,IF(P27&lt;=277825,0.42*P27-10637.32,0.45*P27-18971.07)))))</f>
        <v/>
      </c>
    </row>
    <row r="28" customFormat="false" ht="15" hidden="false" customHeight="false" outlineLevel="0" collapsed="false">
      <c r="A28" s="28" t="n">
        <v>3</v>
      </c>
      <c r="B28" s="29" t="str">
        <f aca="false">IF(Eingaben!$B$16="","",Cashflow!B28)</f>
        <v/>
      </c>
      <c r="C28" s="28" t="n">
        <v>4</v>
      </c>
      <c r="D28" s="31" t="str">
        <f aca="false">IF(Eingaben!$B$16="","",H27)</f>
        <v/>
      </c>
      <c r="E28" s="31" t="str">
        <f aca="false">IF(Eingaben!$B$16="","",MIN(D28,MAX(0,IF(Eingaben!$S$16="Ja",D28*Eingaben!$T$16,Eingaben!$AD$16*Eingaben!$Q$16))))</f>
        <v/>
      </c>
      <c r="F28" s="31" t="str">
        <f aca="false">IF(Eingaben!$B$16="","",MIN(MAX(0,IF(AND(Eingaben!$U$16="Ja",4&lt;=Eingaben!$W$16),Eingaben!$AD$16*Eingaben!$V$16,0)),MAX(0,D28-E28)))</f>
        <v/>
      </c>
      <c r="G28" s="31" t="str">
        <f aca="false">IF(Eingaben!$B$16="","",E28+F28)</f>
        <v/>
      </c>
      <c r="H28" s="31" t="str">
        <f aca="false">IF(Eingaben!$B$16="","",D28-G28)</f>
        <v/>
      </c>
      <c r="I28" s="31" t="str">
        <f aca="false">IF(Eingaben!$B$16="","",Cashflow!E28-Cashflow!G28-G28)</f>
        <v/>
      </c>
      <c r="J28" s="31" t="str">
        <f aca="false">IF(Eingaben!$B$16="","",IF(Eingaben!$D$6="Ja",2*MAX(0,O28),MAX(0,O28)))</f>
        <v/>
      </c>
      <c r="K28" s="31" t="str">
        <f aca="false">IF(Eingaben!$B$16="","",IF(Eingaben!$D$6="Ja",2*MAX(0,Q28),MAX(0,Q28)))</f>
        <v/>
      </c>
      <c r="L28" s="40" t="str">
        <f aca="false">IF(Eingaben!$B$16="","",IF(Eingaben!$D$5&gt;0,J28-K28,-I28*Eingaben!$D$9))</f>
        <v/>
      </c>
      <c r="N28" s="8" t="str">
        <f aca="false">IF(Eingaben!$B$16="","",IF(Eingaben!$D$6="Ja",Eingaben!$F$6/2,Eingaben!$F$6))</f>
        <v/>
      </c>
      <c r="O28" s="8" t="str">
        <f aca="false">IF(Eingaben!$B$16="","",IF(N28&lt;=12348,0,IF(N28&lt;=17799,(914.51*((N28-12348)/10000)+1400)*((N28-12348)/10000),IF(N28&lt;=69878,(181.19*((N28-17799)/10000)+2397)*((N28-17799)/10000)+1025.38,IF(N28&lt;=277825,0.42*N28-10637.32,0.45*N28-18971.07)))))</f>
        <v/>
      </c>
      <c r="P28" s="8" t="str">
        <f aca="false">IF(Eingaben!$B$16="","",IF(Eingaben!$D$6="Ja",MAX(0,Eingaben!$F$6+I28)/2,MAX(0,Eingaben!$F$6+I28)))</f>
        <v/>
      </c>
      <c r="Q28" s="8" t="str">
        <f aca="false">IF(Eingaben!$B$16="","",IF(P28&lt;=12348,0,IF(P28&lt;=17799,(914.51*((P28-12348)/10000)+1400)*((P28-12348)/10000),IF(P28&lt;=69878,(181.19*((P28-17799)/10000)+2397)*((P28-17799)/10000)+1025.38,IF(P28&lt;=277825,0.42*P28-10637.32,0.45*P28-18971.07)))))</f>
        <v/>
      </c>
    </row>
    <row r="29" customFormat="false" ht="15" hidden="false" customHeight="false" outlineLevel="0" collapsed="false">
      <c r="A29" s="28" t="n">
        <v>3</v>
      </c>
      <c r="B29" s="29" t="str">
        <f aca="false">IF(Eingaben!$B$16="","",Cashflow!B29)</f>
        <v/>
      </c>
      <c r="C29" s="28" t="n">
        <v>5</v>
      </c>
      <c r="D29" s="31" t="str">
        <f aca="false">IF(Eingaben!$B$16="","",H28)</f>
        <v/>
      </c>
      <c r="E29" s="31" t="str">
        <f aca="false">IF(Eingaben!$B$16="","",MIN(D29,MAX(0,IF(Eingaben!$S$16="Ja",D29*Eingaben!$T$16,Eingaben!$AD$16*Eingaben!$Q$16))))</f>
        <v/>
      </c>
      <c r="F29" s="31" t="str">
        <f aca="false">IF(Eingaben!$B$16="","",MIN(MAX(0,IF(AND(Eingaben!$U$16="Ja",5&lt;=Eingaben!$W$16),Eingaben!$AD$16*Eingaben!$V$16,0)),MAX(0,D29-E29)))</f>
        <v/>
      </c>
      <c r="G29" s="31" t="str">
        <f aca="false">IF(Eingaben!$B$16="","",E29+F29)</f>
        <v/>
      </c>
      <c r="H29" s="31" t="str">
        <f aca="false">IF(Eingaben!$B$16="","",D29-G29)</f>
        <v/>
      </c>
      <c r="I29" s="31" t="str">
        <f aca="false">IF(Eingaben!$B$16="","",Cashflow!E29-Cashflow!G29-G29)</f>
        <v/>
      </c>
      <c r="J29" s="31" t="str">
        <f aca="false">IF(Eingaben!$B$16="","",IF(Eingaben!$D$6="Ja",2*MAX(0,O29),MAX(0,O29)))</f>
        <v/>
      </c>
      <c r="K29" s="31" t="str">
        <f aca="false">IF(Eingaben!$B$16="","",IF(Eingaben!$D$6="Ja",2*MAX(0,Q29),MAX(0,Q29)))</f>
        <v/>
      </c>
      <c r="L29" s="40" t="str">
        <f aca="false">IF(Eingaben!$B$16="","",IF(Eingaben!$D$5&gt;0,J29-K29,-I29*Eingaben!$D$9))</f>
        <v/>
      </c>
      <c r="N29" s="8" t="str">
        <f aca="false">IF(Eingaben!$B$16="","",IF(Eingaben!$D$6="Ja",Eingaben!$F$6/2,Eingaben!$F$6))</f>
        <v/>
      </c>
      <c r="O29" s="8" t="str">
        <f aca="false">IF(Eingaben!$B$16="","",IF(N29&lt;=12348,0,IF(N29&lt;=17799,(914.51*((N29-12348)/10000)+1400)*((N29-12348)/10000),IF(N29&lt;=69878,(181.19*((N29-17799)/10000)+2397)*((N29-17799)/10000)+1025.38,IF(N29&lt;=277825,0.42*N29-10637.32,0.45*N29-18971.07)))))</f>
        <v/>
      </c>
      <c r="P29" s="8" t="str">
        <f aca="false">IF(Eingaben!$B$16="","",IF(Eingaben!$D$6="Ja",MAX(0,Eingaben!$F$6+I29)/2,MAX(0,Eingaben!$F$6+I29)))</f>
        <v/>
      </c>
      <c r="Q29" s="8" t="str">
        <f aca="false">IF(Eingaben!$B$16="","",IF(P29&lt;=12348,0,IF(P29&lt;=17799,(914.51*((P29-12348)/10000)+1400)*((P29-12348)/10000),IF(P29&lt;=69878,(181.19*((P29-17799)/10000)+2397)*((P29-17799)/10000)+1025.38,IF(P29&lt;=277825,0.42*P29-10637.32,0.45*P29-18971.07)))))</f>
        <v/>
      </c>
    </row>
    <row r="30" customFormat="false" ht="15" hidden="false" customHeight="false" outlineLevel="0" collapsed="false">
      <c r="A30" s="28" t="n">
        <v>3</v>
      </c>
      <c r="B30" s="29" t="str">
        <f aca="false">IF(Eingaben!$B$16="","",Cashflow!B30)</f>
        <v/>
      </c>
      <c r="C30" s="28" t="n">
        <v>6</v>
      </c>
      <c r="D30" s="31" t="str">
        <f aca="false">IF(Eingaben!$B$16="","",H29)</f>
        <v/>
      </c>
      <c r="E30" s="31" t="str">
        <f aca="false">IF(Eingaben!$B$16="","",MIN(D30,MAX(0,IF(Eingaben!$S$16="Ja",D30*Eingaben!$T$16,Eingaben!$AD$16*Eingaben!$Q$16))))</f>
        <v/>
      </c>
      <c r="F30" s="31" t="str">
        <f aca="false">IF(Eingaben!$B$16="","",MIN(MAX(0,IF(AND(Eingaben!$U$16="Ja",6&lt;=Eingaben!$W$16),Eingaben!$AD$16*Eingaben!$V$16,0)),MAX(0,D30-E30)))</f>
        <v/>
      </c>
      <c r="G30" s="31" t="str">
        <f aca="false">IF(Eingaben!$B$16="","",E30+F30)</f>
        <v/>
      </c>
      <c r="H30" s="31" t="str">
        <f aca="false">IF(Eingaben!$B$16="","",D30-G30)</f>
        <v/>
      </c>
      <c r="I30" s="31" t="str">
        <f aca="false">IF(Eingaben!$B$16="","",Cashflow!E30-Cashflow!G30-G30)</f>
        <v/>
      </c>
      <c r="J30" s="31" t="str">
        <f aca="false">IF(Eingaben!$B$16="","",IF(Eingaben!$D$6="Ja",2*MAX(0,O30),MAX(0,O30)))</f>
        <v/>
      </c>
      <c r="K30" s="31" t="str">
        <f aca="false">IF(Eingaben!$B$16="","",IF(Eingaben!$D$6="Ja",2*MAX(0,Q30),MAX(0,Q30)))</f>
        <v/>
      </c>
      <c r="L30" s="40" t="str">
        <f aca="false">IF(Eingaben!$B$16="","",IF(Eingaben!$D$5&gt;0,J30-K30,-I30*Eingaben!$D$9))</f>
        <v/>
      </c>
      <c r="N30" s="8" t="str">
        <f aca="false">IF(Eingaben!$B$16="","",IF(Eingaben!$D$6="Ja",Eingaben!$F$6/2,Eingaben!$F$6))</f>
        <v/>
      </c>
      <c r="O30" s="8" t="str">
        <f aca="false">IF(Eingaben!$B$16="","",IF(N30&lt;=12348,0,IF(N30&lt;=17799,(914.51*((N30-12348)/10000)+1400)*((N30-12348)/10000),IF(N30&lt;=69878,(181.19*((N30-17799)/10000)+2397)*((N30-17799)/10000)+1025.38,IF(N30&lt;=277825,0.42*N30-10637.32,0.45*N30-18971.07)))))</f>
        <v/>
      </c>
      <c r="P30" s="8" t="str">
        <f aca="false">IF(Eingaben!$B$16="","",IF(Eingaben!$D$6="Ja",MAX(0,Eingaben!$F$6+I30)/2,MAX(0,Eingaben!$F$6+I30)))</f>
        <v/>
      </c>
      <c r="Q30" s="8" t="str">
        <f aca="false">IF(Eingaben!$B$16="","",IF(P30&lt;=12348,0,IF(P30&lt;=17799,(914.51*((P30-12348)/10000)+1400)*((P30-12348)/10000),IF(P30&lt;=69878,(181.19*((P30-17799)/10000)+2397)*((P30-17799)/10000)+1025.38,IF(P30&lt;=277825,0.42*P30-10637.32,0.45*P30-18971.07)))))</f>
        <v/>
      </c>
    </row>
    <row r="31" customFormat="false" ht="15" hidden="false" customHeight="false" outlineLevel="0" collapsed="false">
      <c r="A31" s="28" t="n">
        <v>3</v>
      </c>
      <c r="B31" s="29" t="str">
        <f aca="false">IF(Eingaben!$B$16="","",Cashflow!B31)</f>
        <v/>
      </c>
      <c r="C31" s="28" t="n">
        <v>7</v>
      </c>
      <c r="D31" s="31" t="str">
        <f aca="false">IF(Eingaben!$B$16="","",H30)</f>
        <v/>
      </c>
      <c r="E31" s="31" t="str">
        <f aca="false">IF(Eingaben!$B$16="","",MIN(D31,MAX(0,IF(Eingaben!$S$16="Ja",D31*Eingaben!$T$16,Eingaben!$AD$16*Eingaben!$Q$16))))</f>
        <v/>
      </c>
      <c r="F31" s="31" t="str">
        <f aca="false">IF(Eingaben!$B$16="","",MIN(MAX(0,IF(AND(Eingaben!$U$16="Ja",7&lt;=Eingaben!$W$16),Eingaben!$AD$16*Eingaben!$V$16,0)),MAX(0,D31-E31)))</f>
        <v/>
      </c>
      <c r="G31" s="31" t="str">
        <f aca="false">IF(Eingaben!$B$16="","",E31+F31)</f>
        <v/>
      </c>
      <c r="H31" s="31" t="str">
        <f aca="false">IF(Eingaben!$B$16="","",D31-G31)</f>
        <v/>
      </c>
      <c r="I31" s="31" t="str">
        <f aca="false">IF(Eingaben!$B$16="","",Cashflow!E31-Cashflow!G31-G31)</f>
        <v/>
      </c>
      <c r="J31" s="31" t="str">
        <f aca="false">IF(Eingaben!$B$16="","",IF(Eingaben!$D$6="Ja",2*MAX(0,O31),MAX(0,O31)))</f>
        <v/>
      </c>
      <c r="K31" s="31" t="str">
        <f aca="false">IF(Eingaben!$B$16="","",IF(Eingaben!$D$6="Ja",2*MAX(0,Q31),MAX(0,Q31)))</f>
        <v/>
      </c>
      <c r="L31" s="40" t="str">
        <f aca="false">IF(Eingaben!$B$16="","",IF(Eingaben!$D$5&gt;0,J31-K31,-I31*Eingaben!$D$9))</f>
        <v/>
      </c>
      <c r="N31" s="8" t="str">
        <f aca="false">IF(Eingaben!$B$16="","",IF(Eingaben!$D$6="Ja",Eingaben!$F$6/2,Eingaben!$F$6))</f>
        <v/>
      </c>
      <c r="O31" s="8" t="str">
        <f aca="false">IF(Eingaben!$B$16="","",IF(N31&lt;=12348,0,IF(N31&lt;=17799,(914.51*((N31-12348)/10000)+1400)*((N31-12348)/10000),IF(N31&lt;=69878,(181.19*((N31-17799)/10000)+2397)*((N31-17799)/10000)+1025.38,IF(N31&lt;=277825,0.42*N31-10637.32,0.45*N31-18971.07)))))</f>
        <v/>
      </c>
      <c r="P31" s="8" t="str">
        <f aca="false">IF(Eingaben!$B$16="","",IF(Eingaben!$D$6="Ja",MAX(0,Eingaben!$F$6+I31)/2,MAX(0,Eingaben!$F$6+I31)))</f>
        <v/>
      </c>
      <c r="Q31" s="8" t="str">
        <f aca="false">IF(Eingaben!$B$16="","",IF(P31&lt;=12348,0,IF(P31&lt;=17799,(914.51*((P31-12348)/10000)+1400)*((P31-12348)/10000),IF(P31&lt;=69878,(181.19*((P31-17799)/10000)+2397)*((P31-17799)/10000)+1025.38,IF(P31&lt;=277825,0.42*P31-10637.32,0.45*P31-18971.07)))))</f>
        <v/>
      </c>
    </row>
    <row r="32" customFormat="false" ht="15" hidden="false" customHeight="false" outlineLevel="0" collapsed="false">
      <c r="A32" s="28" t="n">
        <v>3</v>
      </c>
      <c r="B32" s="29" t="str">
        <f aca="false">IF(Eingaben!$B$16="","",Cashflow!B32)</f>
        <v/>
      </c>
      <c r="C32" s="28" t="n">
        <v>8</v>
      </c>
      <c r="D32" s="31" t="str">
        <f aca="false">IF(Eingaben!$B$16="","",H31)</f>
        <v/>
      </c>
      <c r="E32" s="31" t="str">
        <f aca="false">IF(Eingaben!$B$16="","",MIN(D32,MAX(0,IF(Eingaben!$S$16="Ja",D32*Eingaben!$T$16,Eingaben!$AD$16*Eingaben!$Q$16))))</f>
        <v/>
      </c>
      <c r="F32" s="31" t="str">
        <f aca="false">IF(Eingaben!$B$16="","",MIN(MAX(0,IF(AND(Eingaben!$U$16="Ja",8&lt;=Eingaben!$W$16),Eingaben!$AD$16*Eingaben!$V$16,0)),MAX(0,D32-E32)))</f>
        <v/>
      </c>
      <c r="G32" s="31" t="str">
        <f aca="false">IF(Eingaben!$B$16="","",E32+F32)</f>
        <v/>
      </c>
      <c r="H32" s="31" t="str">
        <f aca="false">IF(Eingaben!$B$16="","",D32-G32)</f>
        <v/>
      </c>
      <c r="I32" s="31" t="str">
        <f aca="false">IF(Eingaben!$B$16="","",Cashflow!E32-Cashflow!G32-G32)</f>
        <v/>
      </c>
      <c r="J32" s="31" t="str">
        <f aca="false">IF(Eingaben!$B$16="","",IF(Eingaben!$D$6="Ja",2*MAX(0,O32),MAX(0,O32)))</f>
        <v/>
      </c>
      <c r="K32" s="31" t="str">
        <f aca="false">IF(Eingaben!$B$16="","",IF(Eingaben!$D$6="Ja",2*MAX(0,Q32),MAX(0,Q32)))</f>
        <v/>
      </c>
      <c r="L32" s="40" t="str">
        <f aca="false">IF(Eingaben!$B$16="","",IF(Eingaben!$D$5&gt;0,J32-K32,-I32*Eingaben!$D$9))</f>
        <v/>
      </c>
      <c r="N32" s="8" t="str">
        <f aca="false">IF(Eingaben!$B$16="","",IF(Eingaben!$D$6="Ja",Eingaben!$F$6/2,Eingaben!$F$6))</f>
        <v/>
      </c>
      <c r="O32" s="8" t="str">
        <f aca="false">IF(Eingaben!$B$16="","",IF(N32&lt;=12348,0,IF(N32&lt;=17799,(914.51*((N32-12348)/10000)+1400)*((N32-12348)/10000),IF(N32&lt;=69878,(181.19*((N32-17799)/10000)+2397)*((N32-17799)/10000)+1025.38,IF(N32&lt;=277825,0.42*N32-10637.32,0.45*N32-18971.07)))))</f>
        <v/>
      </c>
      <c r="P32" s="8" t="str">
        <f aca="false">IF(Eingaben!$B$16="","",IF(Eingaben!$D$6="Ja",MAX(0,Eingaben!$F$6+I32)/2,MAX(0,Eingaben!$F$6+I32)))</f>
        <v/>
      </c>
      <c r="Q32" s="8" t="str">
        <f aca="false">IF(Eingaben!$B$16="","",IF(P32&lt;=12348,0,IF(P32&lt;=17799,(914.51*((P32-12348)/10000)+1400)*((P32-12348)/10000),IF(P32&lt;=69878,(181.19*((P32-17799)/10000)+2397)*((P32-17799)/10000)+1025.38,IF(P32&lt;=277825,0.42*P32-10637.32,0.45*P32-18971.07)))))</f>
        <v/>
      </c>
    </row>
    <row r="33" customFormat="false" ht="15" hidden="false" customHeight="false" outlineLevel="0" collapsed="false">
      <c r="A33" s="28" t="n">
        <v>3</v>
      </c>
      <c r="B33" s="29" t="str">
        <f aca="false">IF(Eingaben!$B$16="","",Cashflow!B33)</f>
        <v/>
      </c>
      <c r="C33" s="28" t="n">
        <v>9</v>
      </c>
      <c r="D33" s="31" t="str">
        <f aca="false">IF(Eingaben!$B$16="","",H32)</f>
        <v/>
      </c>
      <c r="E33" s="31" t="str">
        <f aca="false">IF(Eingaben!$B$16="","",MIN(D33,MAX(0,IF(Eingaben!$S$16="Ja",D33*Eingaben!$T$16,Eingaben!$AD$16*Eingaben!$Q$16))))</f>
        <v/>
      </c>
      <c r="F33" s="31" t="str">
        <f aca="false">IF(Eingaben!$B$16="","",MIN(MAX(0,IF(AND(Eingaben!$U$16="Ja",9&lt;=Eingaben!$W$16),Eingaben!$AD$16*Eingaben!$V$16,0)),MAX(0,D33-E33)))</f>
        <v/>
      </c>
      <c r="G33" s="31" t="str">
        <f aca="false">IF(Eingaben!$B$16="","",E33+F33)</f>
        <v/>
      </c>
      <c r="H33" s="31" t="str">
        <f aca="false">IF(Eingaben!$B$16="","",D33-G33)</f>
        <v/>
      </c>
      <c r="I33" s="31" t="str">
        <f aca="false">IF(Eingaben!$B$16="","",Cashflow!E33-Cashflow!G33-G33)</f>
        <v/>
      </c>
      <c r="J33" s="31" t="str">
        <f aca="false">IF(Eingaben!$B$16="","",IF(Eingaben!$D$6="Ja",2*MAX(0,O33),MAX(0,O33)))</f>
        <v/>
      </c>
      <c r="K33" s="31" t="str">
        <f aca="false">IF(Eingaben!$B$16="","",IF(Eingaben!$D$6="Ja",2*MAX(0,Q33),MAX(0,Q33)))</f>
        <v/>
      </c>
      <c r="L33" s="40" t="str">
        <f aca="false">IF(Eingaben!$B$16="","",IF(Eingaben!$D$5&gt;0,J33-K33,-I33*Eingaben!$D$9))</f>
        <v/>
      </c>
      <c r="N33" s="8" t="str">
        <f aca="false">IF(Eingaben!$B$16="","",IF(Eingaben!$D$6="Ja",Eingaben!$F$6/2,Eingaben!$F$6))</f>
        <v/>
      </c>
      <c r="O33" s="8" t="str">
        <f aca="false">IF(Eingaben!$B$16="","",IF(N33&lt;=12348,0,IF(N33&lt;=17799,(914.51*((N33-12348)/10000)+1400)*((N33-12348)/10000),IF(N33&lt;=69878,(181.19*((N33-17799)/10000)+2397)*((N33-17799)/10000)+1025.38,IF(N33&lt;=277825,0.42*N33-10637.32,0.45*N33-18971.07)))))</f>
        <v/>
      </c>
      <c r="P33" s="8" t="str">
        <f aca="false">IF(Eingaben!$B$16="","",IF(Eingaben!$D$6="Ja",MAX(0,Eingaben!$F$6+I33)/2,MAX(0,Eingaben!$F$6+I33)))</f>
        <v/>
      </c>
      <c r="Q33" s="8" t="str">
        <f aca="false">IF(Eingaben!$B$16="","",IF(P33&lt;=12348,0,IF(P33&lt;=17799,(914.51*((P33-12348)/10000)+1400)*((P33-12348)/10000),IF(P33&lt;=69878,(181.19*((P33-17799)/10000)+2397)*((P33-17799)/10000)+1025.38,IF(P33&lt;=277825,0.42*P33-10637.32,0.45*P33-18971.07)))))</f>
        <v/>
      </c>
    </row>
    <row r="34" customFormat="false" ht="15" hidden="false" customHeight="false" outlineLevel="0" collapsed="false">
      <c r="A34" s="28" t="n">
        <v>3</v>
      </c>
      <c r="B34" s="29" t="str">
        <f aca="false">IF(Eingaben!$B$16="","",Cashflow!B34)</f>
        <v/>
      </c>
      <c r="C34" s="28" t="n">
        <v>10</v>
      </c>
      <c r="D34" s="31" t="str">
        <f aca="false">IF(Eingaben!$B$16="","",H33)</f>
        <v/>
      </c>
      <c r="E34" s="31" t="str">
        <f aca="false">IF(Eingaben!$B$16="","",MIN(D34,MAX(0,IF(Eingaben!$S$16="Ja",D34*Eingaben!$T$16,Eingaben!$AD$16*Eingaben!$Q$16))))</f>
        <v/>
      </c>
      <c r="F34" s="31" t="str">
        <f aca="false">IF(Eingaben!$B$16="","",MIN(MAX(0,IF(AND(Eingaben!$U$16="Ja",10&lt;=Eingaben!$W$16),Eingaben!$AD$16*Eingaben!$V$16,0)),MAX(0,D34-E34)))</f>
        <v/>
      </c>
      <c r="G34" s="31" t="str">
        <f aca="false">IF(Eingaben!$B$16="","",E34+F34)</f>
        <v/>
      </c>
      <c r="H34" s="31" t="str">
        <f aca="false">IF(Eingaben!$B$16="","",D34-G34)</f>
        <v/>
      </c>
      <c r="I34" s="31" t="str">
        <f aca="false">IF(Eingaben!$B$16="","",Cashflow!E34-Cashflow!G34-G34)</f>
        <v/>
      </c>
      <c r="J34" s="31" t="str">
        <f aca="false">IF(Eingaben!$B$16="","",IF(Eingaben!$D$6="Ja",2*MAX(0,O34),MAX(0,O34)))</f>
        <v/>
      </c>
      <c r="K34" s="31" t="str">
        <f aca="false">IF(Eingaben!$B$16="","",IF(Eingaben!$D$6="Ja",2*MAX(0,Q34),MAX(0,Q34)))</f>
        <v/>
      </c>
      <c r="L34" s="40" t="str">
        <f aca="false">IF(Eingaben!$B$16="","",IF(Eingaben!$D$5&gt;0,J34-K34,-I34*Eingaben!$D$9))</f>
        <v/>
      </c>
      <c r="N34" s="8" t="str">
        <f aca="false">IF(Eingaben!$B$16="","",IF(Eingaben!$D$6="Ja",Eingaben!$F$6/2,Eingaben!$F$6))</f>
        <v/>
      </c>
      <c r="O34" s="8" t="str">
        <f aca="false">IF(Eingaben!$B$16="","",IF(N34&lt;=12348,0,IF(N34&lt;=17799,(914.51*((N34-12348)/10000)+1400)*((N34-12348)/10000),IF(N34&lt;=69878,(181.19*((N34-17799)/10000)+2397)*((N34-17799)/10000)+1025.38,IF(N34&lt;=277825,0.42*N34-10637.32,0.45*N34-18971.07)))))</f>
        <v/>
      </c>
      <c r="P34" s="8" t="str">
        <f aca="false">IF(Eingaben!$B$16="","",IF(Eingaben!$D$6="Ja",MAX(0,Eingaben!$F$6+I34)/2,MAX(0,Eingaben!$F$6+I34)))</f>
        <v/>
      </c>
      <c r="Q34" s="8" t="str">
        <f aca="false">IF(Eingaben!$B$16="","",IF(P34&lt;=12348,0,IF(P34&lt;=17799,(914.51*((P34-12348)/10000)+1400)*((P34-12348)/10000),IF(P34&lt;=69878,(181.19*((P34-17799)/10000)+2397)*((P34-17799)/10000)+1025.38,IF(P34&lt;=277825,0.42*P34-10637.32,0.45*P34-18971.07)))))</f>
        <v/>
      </c>
    </row>
    <row r="35" customFormat="false" ht="15" hidden="false" customHeight="false" outlineLevel="0" collapsed="false">
      <c r="A35" s="35" t="n">
        <v>4</v>
      </c>
      <c r="B35" s="29" t="str">
        <f aca="false">IF(Eingaben!$B$17="","",Cashflow!B35)</f>
        <v/>
      </c>
      <c r="C35" s="35" t="n">
        <v>1</v>
      </c>
      <c r="D35" s="36" t="str">
        <f aca="false">IF(Eingaben!$B$17="","",Eingaben!$AD$17)</f>
        <v/>
      </c>
      <c r="E35" s="36" t="str">
        <f aca="false">IF(Eingaben!$B$17="","",MIN(D35,MAX(0,IF(Eingaben!$S$17="Ja",D35*Eingaben!$T$17,Eingaben!$AD$17*Eingaben!$Q$17))))</f>
        <v/>
      </c>
      <c r="F35" s="36" t="str">
        <f aca="false">IF(Eingaben!$B$17="","",MIN(MAX(0,IF(AND(Eingaben!$U$17="Ja",1&lt;=Eingaben!$W$17),Eingaben!$AD$17*Eingaben!$V$17,0)),MAX(0,D35-E35)))</f>
        <v/>
      </c>
      <c r="G35" s="36" t="str">
        <f aca="false">IF(Eingaben!$B$17="","",E35+F35)</f>
        <v/>
      </c>
      <c r="H35" s="36" t="str">
        <f aca="false">IF(Eingaben!$B$17="","",D35-G35)</f>
        <v/>
      </c>
      <c r="I35" s="36" t="str">
        <f aca="false">IF(Eingaben!$B$17="","",Cashflow!E35-Cashflow!G35-G35)</f>
        <v/>
      </c>
      <c r="J35" s="36" t="str">
        <f aca="false">IF(Eingaben!$B$17="","",IF(Eingaben!$D$6="Ja",2*MAX(0,O35),MAX(0,O35)))</f>
        <v/>
      </c>
      <c r="K35" s="36" t="str">
        <f aca="false">IF(Eingaben!$B$17="","",IF(Eingaben!$D$6="Ja",2*MAX(0,Q35),MAX(0,Q35)))</f>
        <v/>
      </c>
      <c r="L35" s="42" t="str">
        <f aca="false">IF(Eingaben!$B$17="","",IF(Eingaben!$D$5&gt;0,J35-K35,-I35*Eingaben!$D$9))</f>
        <v/>
      </c>
      <c r="N35" s="8" t="str">
        <f aca="false">IF(Eingaben!$B$17="","",IF(Eingaben!$D$6="Ja",Eingaben!$F$6/2,Eingaben!$F$6))</f>
        <v/>
      </c>
      <c r="O35" s="8" t="str">
        <f aca="false">IF(Eingaben!$B$17="","",IF(N35&lt;=12348,0,IF(N35&lt;=17799,(914.51*((N35-12348)/10000)+1400)*((N35-12348)/10000),IF(N35&lt;=69878,(181.19*((N35-17799)/10000)+2397)*((N35-17799)/10000)+1025.38,IF(N35&lt;=277825,0.42*N35-10637.32,0.45*N35-18971.07)))))</f>
        <v/>
      </c>
      <c r="P35" s="8" t="str">
        <f aca="false">IF(Eingaben!$B$17="","",IF(Eingaben!$D$6="Ja",MAX(0,Eingaben!$F$6+I35)/2,MAX(0,Eingaben!$F$6+I35)))</f>
        <v/>
      </c>
      <c r="Q35" s="8" t="str">
        <f aca="false">IF(Eingaben!$B$17="","",IF(P35&lt;=12348,0,IF(P35&lt;=17799,(914.51*((P35-12348)/10000)+1400)*((P35-12348)/10000),IF(P35&lt;=69878,(181.19*((P35-17799)/10000)+2397)*((P35-17799)/10000)+1025.38,IF(P35&lt;=277825,0.42*P35-10637.32,0.45*P35-18971.07)))))</f>
        <v/>
      </c>
    </row>
    <row r="36" customFormat="false" ht="15" hidden="false" customHeight="false" outlineLevel="0" collapsed="false">
      <c r="A36" s="35" t="n">
        <v>4</v>
      </c>
      <c r="B36" s="29" t="str">
        <f aca="false">IF(Eingaben!$B$17="","",Cashflow!B36)</f>
        <v/>
      </c>
      <c r="C36" s="35" t="n">
        <v>2</v>
      </c>
      <c r="D36" s="36" t="str">
        <f aca="false">IF(Eingaben!$B$17="","",H35)</f>
        <v/>
      </c>
      <c r="E36" s="36" t="str">
        <f aca="false">IF(Eingaben!$B$17="","",MIN(D36,MAX(0,IF(Eingaben!$S$17="Ja",D36*Eingaben!$T$17,Eingaben!$AD$17*Eingaben!$Q$17))))</f>
        <v/>
      </c>
      <c r="F36" s="36" t="str">
        <f aca="false">IF(Eingaben!$B$17="","",MIN(MAX(0,IF(AND(Eingaben!$U$17="Ja",2&lt;=Eingaben!$W$17),Eingaben!$AD$17*Eingaben!$V$17,0)),MAX(0,D36-E36)))</f>
        <v/>
      </c>
      <c r="G36" s="36" t="str">
        <f aca="false">IF(Eingaben!$B$17="","",E36+F36)</f>
        <v/>
      </c>
      <c r="H36" s="36" t="str">
        <f aca="false">IF(Eingaben!$B$17="","",D36-G36)</f>
        <v/>
      </c>
      <c r="I36" s="36" t="str">
        <f aca="false">IF(Eingaben!$B$17="","",Cashflow!E36-Cashflow!G36-G36)</f>
        <v/>
      </c>
      <c r="J36" s="36" t="str">
        <f aca="false">IF(Eingaben!$B$17="","",IF(Eingaben!$D$6="Ja",2*MAX(0,O36),MAX(0,O36)))</f>
        <v/>
      </c>
      <c r="K36" s="36" t="str">
        <f aca="false">IF(Eingaben!$B$17="","",IF(Eingaben!$D$6="Ja",2*MAX(0,Q36),MAX(0,Q36)))</f>
        <v/>
      </c>
      <c r="L36" s="42" t="str">
        <f aca="false">IF(Eingaben!$B$17="","",IF(Eingaben!$D$5&gt;0,J36-K36,-I36*Eingaben!$D$9))</f>
        <v/>
      </c>
      <c r="N36" s="8" t="str">
        <f aca="false">IF(Eingaben!$B$17="","",IF(Eingaben!$D$6="Ja",Eingaben!$F$6/2,Eingaben!$F$6))</f>
        <v/>
      </c>
      <c r="O36" s="8" t="str">
        <f aca="false">IF(Eingaben!$B$17="","",IF(N36&lt;=12348,0,IF(N36&lt;=17799,(914.51*((N36-12348)/10000)+1400)*((N36-12348)/10000),IF(N36&lt;=69878,(181.19*((N36-17799)/10000)+2397)*((N36-17799)/10000)+1025.38,IF(N36&lt;=277825,0.42*N36-10637.32,0.45*N36-18971.07)))))</f>
        <v/>
      </c>
      <c r="P36" s="8" t="str">
        <f aca="false">IF(Eingaben!$B$17="","",IF(Eingaben!$D$6="Ja",MAX(0,Eingaben!$F$6+I36)/2,MAX(0,Eingaben!$F$6+I36)))</f>
        <v/>
      </c>
      <c r="Q36" s="8" t="str">
        <f aca="false">IF(Eingaben!$B$17="","",IF(P36&lt;=12348,0,IF(P36&lt;=17799,(914.51*((P36-12348)/10000)+1400)*((P36-12348)/10000),IF(P36&lt;=69878,(181.19*((P36-17799)/10000)+2397)*((P36-17799)/10000)+1025.38,IF(P36&lt;=277825,0.42*P36-10637.32,0.45*P36-18971.07)))))</f>
        <v/>
      </c>
    </row>
    <row r="37" customFormat="false" ht="15" hidden="false" customHeight="false" outlineLevel="0" collapsed="false">
      <c r="A37" s="35" t="n">
        <v>4</v>
      </c>
      <c r="B37" s="29" t="str">
        <f aca="false">IF(Eingaben!$B$17="","",Cashflow!B37)</f>
        <v/>
      </c>
      <c r="C37" s="35" t="n">
        <v>3</v>
      </c>
      <c r="D37" s="36" t="str">
        <f aca="false">IF(Eingaben!$B$17="","",H36)</f>
        <v/>
      </c>
      <c r="E37" s="36" t="str">
        <f aca="false">IF(Eingaben!$B$17="","",MIN(D37,MAX(0,IF(Eingaben!$S$17="Ja",D37*Eingaben!$T$17,Eingaben!$AD$17*Eingaben!$Q$17))))</f>
        <v/>
      </c>
      <c r="F37" s="36" t="str">
        <f aca="false">IF(Eingaben!$B$17="","",MIN(MAX(0,IF(AND(Eingaben!$U$17="Ja",3&lt;=Eingaben!$W$17),Eingaben!$AD$17*Eingaben!$V$17,0)),MAX(0,D37-E37)))</f>
        <v/>
      </c>
      <c r="G37" s="36" t="str">
        <f aca="false">IF(Eingaben!$B$17="","",E37+F37)</f>
        <v/>
      </c>
      <c r="H37" s="36" t="str">
        <f aca="false">IF(Eingaben!$B$17="","",D37-G37)</f>
        <v/>
      </c>
      <c r="I37" s="36" t="str">
        <f aca="false">IF(Eingaben!$B$17="","",Cashflow!E37-Cashflow!G37-G37)</f>
        <v/>
      </c>
      <c r="J37" s="36" t="str">
        <f aca="false">IF(Eingaben!$B$17="","",IF(Eingaben!$D$6="Ja",2*MAX(0,O37),MAX(0,O37)))</f>
        <v/>
      </c>
      <c r="K37" s="36" t="str">
        <f aca="false">IF(Eingaben!$B$17="","",IF(Eingaben!$D$6="Ja",2*MAX(0,Q37),MAX(0,Q37)))</f>
        <v/>
      </c>
      <c r="L37" s="42" t="str">
        <f aca="false">IF(Eingaben!$B$17="","",IF(Eingaben!$D$5&gt;0,J37-K37,-I37*Eingaben!$D$9))</f>
        <v/>
      </c>
      <c r="N37" s="8" t="str">
        <f aca="false">IF(Eingaben!$B$17="","",IF(Eingaben!$D$6="Ja",Eingaben!$F$6/2,Eingaben!$F$6))</f>
        <v/>
      </c>
      <c r="O37" s="8" t="str">
        <f aca="false">IF(Eingaben!$B$17="","",IF(N37&lt;=12348,0,IF(N37&lt;=17799,(914.51*((N37-12348)/10000)+1400)*((N37-12348)/10000),IF(N37&lt;=69878,(181.19*((N37-17799)/10000)+2397)*((N37-17799)/10000)+1025.38,IF(N37&lt;=277825,0.42*N37-10637.32,0.45*N37-18971.07)))))</f>
        <v/>
      </c>
      <c r="P37" s="8" t="str">
        <f aca="false">IF(Eingaben!$B$17="","",IF(Eingaben!$D$6="Ja",MAX(0,Eingaben!$F$6+I37)/2,MAX(0,Eingaben!$F$6+I37)))</f>
        <v/>
      </c>
      <c r="Q37" s="8" t="str">
        <f aca="false">IF(Eingaben!$B$17="","",IF(P37&lt;=12348,0,IF(P37&lt;=17799,(914.51*((P37-12348)/10000)+1400)*((P37-12348)/10000),IF(P37&lt;=69878,(181.19*((P37-17799)/10000)+2397)*((P37-17799)/10000)+1025.38,IF(P37&lt;=277825,0.42*P37-10637.32,0.45*P37-18971.07)))))</f>
        <v/>
      </c>
    </row>
    <row r="38" customFormat="false" ht="15" hidden="false" customHeight="false" outlineLevel="0" collapsed="false">
      <c r="A38" s="35" t="n">
        <v>4</v>
      </c>
      <c r="B38" s="29" t="str">
        <f aca="false">IF(Eingaben!$B$17="","",Cashflow!B38)</f>
        <v/>
      </c>
      <c r="C38" s="35" t="n">
        <v>4</v>
      </c>
      <c r="D38" s="36" t="str">
        <f aca="false">IF(Eingaben!$B$17="","",H37)</f>
        <v/>
      </c>
      <c r="E38" s="36" t="str">
        <f aca="false">IF(Eingaben!$B$17="","",MIN(D38,MAX(0,IF(Eingaben!$S$17="Ja",D38*Eingaben!$T$17,Eingaben!$AD$17*Eingaben!$Q$17))))</f>
        <v/>
      </c>
      <c r="F38" s="36" t="str">
        <f aca="false">IF(Eingaben!$B$17="","",MIN(MAX(0,IF(AND(Eingaben!$U$17="Ja",4&lt;=Eingaben!$W$17),Eingaben!$AD$17*Eingaben!$V$17,0)),MAX(0,D38-E38)))</f>
        <v/>
      </c>
      <c r="G38" s="36" t="str">
        <f aca="false">IF(Eingaben!$B$17="","",E38+F38)</f>
        <v/>
      </c>
      <c r="H38" s="36" t="str">
        <f aca="false">IF(Eingaben!$B$17="","",D38-G38)</f>
        <v/>
      </c>
      <c r="I38" s="36" t="str">
        <f aca="false">IF(Eingaben!$B$17="","",Cashflow!E38-Cashflow!G38-G38)</f>
        <v/>
      </c>
      <c r="J38" s="36" t="str">
        <f aca="false">IF(Eingaben!$B$17="","",IF(Eingaben!$D$6="Ja",2*MAX(0,O38),MAX(0,O38)))</f>
        <v/>
      </c>
      <c r="K38" s="36" t="str">
        <f aca="false">IF(Eingaben!$B$17="","",IF(Eingaben!$D$6="Ja",2*MAX(0,Q38),MAX(0,Q38)))</f>
        <v/>
      </c>
      <c r="L38" s="42" t="str">
        <f aca="false">IF(Eingaben!$B$17="","",IF(Eingaben!$D$5&gt;0,J38-K38,-I38*Eingaben!$D$9))</f>
        <v/>
      </c>
      <c r="N38" s="8" t="str">
        <f aca="false">IF(Eingaben!$B$17="","",IF(Eingaben!$D$6="Ja",Eingaben!$F$6/2,Eingaben!$F$6))</f>
        <v/>
      </c>
      <c r="O38" s="8" t="str">
        <f aca="false">IF(Eingaben!$B$17="","",IF(N38&lt;=12348,0,IF(N38&lt;=17799,(914.51*((N38-12348)/10000)+1400)*((N38-12348)/10000),IF(N38&lt;=69878,(181.19*((N38-17799)/10000)+2397)*((N38-17799)/10000)+1025.38,IF(N38&lt;=277825,0.42*N38-10637.32,0.45*N38-18971.07)))))</f>
        <v/>
      </c>
      <c r="P38" s="8" t="str">
        <f aca="false">IF(Eingaben!$B$17="","",IF(Eingaben!$D$6="Ja",MAX(0,Eingaben!$F$6+I38)/2,MAX(0,Eingaben!$F$6+I38)))</f>
        <v/>
      </c>
      <c r="Q38" s="8" t="str">
        <f aca="false">IF(Eingaben!$B$17="","",IF(P38&lt;=12348,0,IF(P38&lt;=17799,(914.51*((P38-12348)/10000)+1400)*((P38-12348)/10000),IF(P38&lt;=69878,(181.19*((P38-17799)/10000)+2397)*((P38-17799)/10000)+1025.38,IF(P38&lt;=277825,0.42*P38-10637.32,0.45*P38-18971.07)))))</f>
        <v/>
      </c>
    </row>
    <row r="39" customFormat="false" ht="15" hidden="false" customHeight="false" outlineLevel="0" collapsed="false">
      <c r="A39" s="35" t="n">
        <v>4</v>
      </c>
      <c r="B39" s="29" t="str">
        <f aca="false">IF(Eingaben!$B$17="","",Cashflow!B39)</f>
        <v/>
      </c>
      <c r="C39" s="35" t="n">
        <v>5</v>
      </c>
      <c r="D39" s="36" t="str">
        <f aca="false">IF(Eingaben!$B$17="","",H38)</f>
        <v/>
      </c>
      <c r="E39" s="36" t="str">
        <f aca="false">IF(Eingaben!$B$17="","",MIN(D39,MAX(0,IF(Eingaben!$S$17="Ja",D39*Eingaben!$T$17,Eingaben!$AD$17*Eingaben!$Q$17))))</f>
        <v/>
      </c>
      <c r="F39" s="36" t="str">
        <f aca="false">IF(Eingaben!$B$17="","",MIN(MAX(0,IF(AND(Eingaben!$U$17="Ja",5&lt;=Eingaben!$W$17),Eingaben!$AD$17*Eingaben!$V$17,0)),MAX(0,D39-E39)))</f>
        <v/>
      </c>
      <c r="G39" s="36" t="str">
        <f aca="false">IF(Eingaben!$B$17="","",E39+F39)</f>
        <v/>
      </c>
      <c r="H39" s="36" t="str">
        <f aca="false">IF(Eingaben!$B$17="","",D39-G39)</f>
        <v/>
      </c>
      <c r="I39" s="36" t="str">
        <f aca="false">IF(Eingaben!$B$17="","",Cashflow!E39-Cashflow!G39-G39)</f>
        <v/>
      </c>
      <c r="J39" s="36" t="str">
        <f aca="false">IF(Eingaben!$B$17="","",IF(Eingaben!$D$6="Ja",2*MAX(0,O39),MAX(0,O39)))</f>
        <v/>
      </c>
      <c r="K39" s="36" t="str">
        <f aca="false">IF(Eingaben!$B$17="","",IF(Eingaben!$D$6="Ja",2*MAX(0,Q39),MAX(0,Q39)))</f>
        <v/>
      </c>
      <c r="L39" s="42" t="str">
        <f aca="false">IF(Eingaben!$B$17="","",IF(Eingaben!$D$5&gt;0,J39-K39,-I39*Eingaben!$D$9))</f>
        <v/>
      </c>
      <c r="N39" s="8" t="str">
        <f aca="false">IF(Eingaben!$B$17="","",IF(Eingaben!$D$6="Ja",Eingaben!$F$6/2,Eingaben!$F$6))</f>
        <v/>
      </c>
      <c r="O39" s="8" t="str">
        <f aca="false">IF(Eingaben!$B$17="","",IF(N39&lt;=12348,0,IF(N39&lt;=17799,(914.51*((N39-12348)/10000)+1400)*((N39-12348)/10000),IF(N39&lt;=69878,(181.19*((N39-17799)/10000)+2397)*((N39-17799)/10000)+1025.38,IF(N39&lt;=277825,0.42*N39-10637.32,0.45*N39-18971.07)))))</f>
        <v/>
      </c>
      <c r="P39" s="8" t="str">
        <f aca="false">IF(Eingaben!$B$17="","",IF(Eingaben!$D$6="Ja",MAX(0,Eingaben!$F$6+I39)/2,MAX(0,Eingaben!$F$6+I39)))</f>
        <v/>
      </c>
      <c r="Q39" s="8" t="str">
        <f aca="false">IF(Eingaben!$B$17="","",IF(P39&lt;=12348,0,IF(P39&lt;=17799,(914.51*((P39-12348)/10000)+1400)*((P39-12348)/10000),IF(P39&lt;=69878,(181.19*((P39-17799)/10000)+2397)*((P39-17799)/10000)+1025.38,IF(P39&lt;=277825,0.42*P39-10637.32,0.45*P39-18971.07)))))</f>
        <v/>
      </c>
    </row>
    <row r="40" customFormat="false" ht="15" hidden="false" customHeight="false" outlineLevel="0" collapsed="false">
      <c r="A40" s="35" t="n">
        <v>4</v>
      </c>
      <c r="B40" s="29" t="str">
        <f aca="false">IF(Eingaben!$B$17="","",Cashflow!B40)</f>
        <v/>
      </c>
      <c r="C40" s="35" t="n">
        <v>6</v>
      </c>
      <c r="D40" s="36" t="str">
        <f aca="false">IF(Eingaben!$B$17="","",H39)</f>
        <v/>
      </c>
      <c r="E40" s="36" t="str">
        <f aca="false">IF(Eingaben!$B$17="","",MIN(D40,MAX(0,IF(Eingaben!$S$17="Ja",D40*Eingaben!$T$17,Eingaben!$AD$17*Eingaben!$Q$17))))</f>
        <v/>
      </c>
      <c r="F40" s="36" t="str">
        <f aca="false">IF(Eingaben!$B$17="","",MIN(MAX(0,IF(AND(Eingaben!$U$17="Ja",6&lt;=Eingaben!$W$17),Eingaben!$AD$17*Eingaben!$V$17,0)),MAX(0,D40-E40)))</f>
        <v/>
      </c>
      <c r="G40" s="36" t="str">
        <f aca="false">IF(Eingaben!$B$17="","",E40+F40)</f>
        <v/>
      </c>
      <c r="H40" s="36" t="str">
        <f aca="false">IF(Eingaben!$B$17="","",D40-G40)</f>
        <v/>
      </c>
      <c r="I40" s="36" t="str">
        <f aca="false">IF(Eingaben!$B$17="","",Cashflow!E40-Cashflow!G40-G40)</f>
        <v/>
      </c>
      <c r="J40" s="36" t="str">
        <f aca="false">IF(Eingaben!$B$17="","",IF(Eingaben!$D$6="Ja",2*MAX(0,O40),MAX(0,O40)))</f>
        <v/>
      </c>
      <c r="K40" s="36" t="str">
        <f aca="false">IF(Eingaben!$B$17="","",IF(Eingaben!$D$6="Ja",2*MAX(0,Q40),MAX(0,Q40)))</f>
        <v/>
      </c>
      <c r="L40" s="42" t="str">
        <f aca="false">IF(Eingaben!$B$17="","",IF(Eingaben!$D$5&gt;0,J40-K40,-I40*Eingaben!$D$9))</f>
        <v/>
      </c>
      <c r="N40" s="8" t="str">
        <f aca="false">IF(Eingaben!$B$17="","",IF(Eingaben!$D$6="Ja",Eingaben!$F$6/2,Eingaben!$F$6))</f>
        <v/>
      </c>
      <c r="O40" s="8" t="str">
        <f aca="false">IF(Eingaben!$B$17="","",IF(N40&lt;=12348,0,IF(N40&lt;=17799,(914.51*((N40-12348)/10000)+1400)*((N40-12348)/10000),IF(N40&lt;=69878,(181.19*((N40-17799)/10000)+2397)*((N40-17799)/10000)+1025.38,IF(N40&lt;=277825,0.42*N40-10637.32,0.45*N40-18971.07)))))</f>
        <v/>
      </c>
      <c r="P40" s="8" t="str">
        <f aca="false">IF(Eingaben!$B$17="","",IF(Eingaben!$D$6="Ja",MAX(0,Eingaben!$F$6+I40)/2,MAX(0,Eingaben!$F$6+I40)))</f>
        <v/>
      </c>
      <c r="Q40" s="8" t="str">
        <f aca="false">IF(Eingaben!$B$17="","",IF(P40&lt;=12348,0,IF(P40&lt;=17799,(914.51*((P40-12348)/10000)+1400)*((P40-12348)/10000),IF(P40&lt;=69878,(181.19*((P40-17799)/10000)+2397)*((P40-17799)/10000)+1025.38,IF(P40&lt;=277825,0.42*P40-10637.32,0.45*P40-18971.07)))))</f>
        <v/>
      </c>
    </row>
    <row r="41" customFormat="false" ht="15" hidden="false" customHeight="false" outlineLevel="0" collapsed="false">
      <c r="A41" s="35" t="n">
        <v>4</v>
      </c>
      <c r="B41" s="29" t="str">
        <f aca="false">IF(Eingaben!$B$17="","",Cashflow!B41)</f>
        <v/>
      </c>
      <c r="C41" s="35" t="n">
        <v>7</v>
      </c>
      <c r="D41" s="36" t="str">
        <f aca="false">IF(Eingaben!$B$17="","",H40)</f>
        <v/>
      </c>
      <c r="E41" s="36" t="str">
        <f aca="false">IF(Eingaben!$B$17="","",MIN(D41,MAX(0,IF(Eingaben!$S$17="Ja",D41*Eingaben!$T$17,Eingaben!$AD$17*Eingaben!$Q$17))))</f>
        <v/>
      </c>
      <c r="F41" s="36" t="str">
        <f aca="false">IF(Eingaben!$B$17="","",MIN(MAX(0,IF(AND(Eingaben!$U$17="Ja",7&lt;=Eingaben!$W$17),Eingaben!$AD$17*Eingaben!$V$17,0)),MAX(0,D41-E41)))</f>
        <v/>
      </c>
      <c r="G41" s="36" t="str">
        <f aca="false">IF(Eingaben!$B$17="","",E41+F41)</f>
        <v/>
      </c>
      <c r="H41" s="36" t="str">
        <f aca="false">IF(Eingaben!$B$17="","",D41-G41)</f>
        <v/>
      </c>
      <c r="I41" s="36" t="str">
        <f aca="false">IF(Eingaben!$B$17="","",Cashflow!E41-Cashflow!G41-G41)</f>
        <v/>
      </c>
      <c r="J41" s="36" t="str">
        <f aca="false">IF(Eingaben!$B$17="","",IF(Eingaben!$D$6="Ja",2*MAX(0,O41),MAX(0,O41)))</f>
        <v/>
      </c>
      <c r="K41" s="36" t="str">
        <f aca="false">IF(Eingaben!$B$17="","",IF(Eingaben!$D$6="Ja",2*MAX(0,Q41),MAX(0,Q41)))</f>
        <v/>
      </c>
      <c r="L41" s="42" t="str">
        <f aca="false">IF(Eingaben!$B$17="","",IF(Eingaben!$D$5&gt;0,J41-K41,-I41*Eingaben!$D$9))</f>
        <v/>
      </c>
      <c r="N41" s="8" t="str">
        <f aca="false">IF(Eingaben!$B$17="","",IF(Eingaben!$D$6="Ja",Eingaben!$F$6/2,Eingaben!$F$6))</f>
        <v/>
      </c>
      <c r="O41" s="8" t="str">
        <f aca="false">IF(Eingaben!$B$17="","",IF(N41&lt;=12348,0,IF(N41&lt;=17799,(914.51*((N41-12348)/10000)+1400)*((N41-12348)/10000),IF(N41&lt;=69878,(181.19*((N41-17799)/10000)+2397)*((N41-17799)/10000)+1025.38,IF(N41&lt;=277825,0.42*N41-10637.32,0.45*N41-18971.07)))))</f>
        <v/>
      </c>
      <c r="P41" s="8" t="str">
        <f aca="false">IF(Eingaben!$B$17="","",IF(Eingaben!$D$6="Ja",MAX(0,Eingaben!$F$6+I41)/2,MAX(0,Eingaben!$F$6+I41)))</f>
        <v/>
      </c>
      <c r="Q41" s="8" t="str">
        <f aca="false">IF(Eingaben!$B$17="","",IF(P41&lt;=12348,0,IF(P41&lt;=17799,(914.51*((P41-12348)/10000)+1400)*((P41-12348)/10000),IF(P41&lt;=69878,(181.19*((P41-17799)/10000)+2397)*((P41-17799)/10000)+1025.38,IF(P41&lt;=277825,0.42*P41-10637.32,0.45*P41-18971.07)))))</f>
        <v/>
      </c>
    </row>
    <row r="42" customFormat="false" ht="15" hidden="false" customHeight="false" outlineLevel="0" collapsed="false">
      <c r="A42" s="35" t="n">
        <v>4</v>
      </c>
      <c r="B42" s="29" t="str">
        <f aca="false">IF(Eingaben!$B$17="","",Cashflow!B42)</f>
        <v/>
      </c>
      <c r="C42" s="35" t="n">
        <v>8</v>
      </c>
      <c r="D42" s="36" t="str">
        <f aca="false">IF(Eingaben!$B$17="","",H41)</f>
        <v/>
      </c>
      <c r="E42" s="36" t="str">
        <f aca="false">IF(Eingaben!$B$17="","",MIN(D42,MAX(0,IF(Eingaben!$S$17="Ja",D42*Eingaben!$T$17,Eingaben!$AD$17*Eingaben!$Q$17))))</f>
        <v/>
      </c>
      <c r="F42" s="36" t="str">
        <f aca="false">IF(Eingaben!$B$17="","",MIN(MAX(0,IF(AND(Eingaben!$U$17="Ja",8&lt;=Eingaben!$W$17),Eingaben!$AD$17*Eingaben!$V$17,0)),MAX(0,D42-E42)))</f>
        <v/>
      </c>
      <c r="G42" s="36" t="str">
        <f aca="false">IF(Eingaben!$B$17="","",E42+F42)</f>
        <v/>
      </c>
      <c r="H42" s="36" t="str">
        <f aca="false">IF(Eingaben!$B$17="","",D42-G42)</f>
        <v/>
      </c>
      <c r="I42" s="36" t="str">
        <f aca="false">IF(Eingaben!$B$17="","",Cashflow!E42-Cashflow!G42-G42)</f>
        <v/>
      </c>
      <c r="J42" s="36" t="str">
        <f aca="false">IF(Eingaben!$B$17="","",IF(Eingaben!$D$6="Ja",2*MAX(0,O42),MAX(0,O42)))</f>
        <v/>
      </c>
      <c r="K42" s="36" t="str">
        <f aca="false">IF(Eingaben!$B$17="","",IF(Eingaben!$D$6="Ja",2*MAX(0,Q42),MAX(0,Q42)))</f>
        <v/>
      </c>
      <c r="L42" s="42" t="str">
        <f aca="false">IF(Eingaben!$B$17="","",IF(Eingaben!$D$5&gt;0,J42-K42,-I42*Eingaben!$D$9))</f>
        <v/>
      </c>
      <c r="N42" s="8" t="str">
        <f aca="false">IF(Eingaben!$B$17="","",IF(Eingaben!$D$6="Ja",Eingaben!$F$6/2,Eingaben!$F$6))</f>
        <v/>
      </c>
      <c r="O42" s="8" t="str">
        <f aca="false">IF(Eingaben!$B$17="","",IF(N42&lt;=12348,0,IF(N42&lt;=17799,(914.51*((N42-12348)/10000)+1400)*((N42-12348)/10000),IF(N42&lt;=69878,(181.19*((N42-17799)/10000)+2397)*((N42-17799)/10000)+1025.38,IF(N42&lt;=277825,0.42*N42-10637.32,0.45*N42-18971.07)))))</f>
        <v/>
      </c>
      <c r="P42" s="8" t="str">
        <f aca="false">IF(Eingaben!$B$17="","",IF(Eingaben!$D$6="Ja",MAX(0,Eingaben!$F$6+I42)/2,MAX(0,Eingaben!$F$6+I42)))</f>
        <v/>
      </c>
      <c r="Q42" s="8" t="str">
        <f aca="false">IF(Eingaben!$B$17="","",IF(P42&lt;=12348,0,IF(P42&lt;=17799,(914.51*((P42-12348)/10000)+1400)*((P42-12348)/10000),IF(P42&lt;=69878,(181.19*((P42-17799)/10000)+2397)*((P42-17799)/10000)+1025.38,IF(P42&lt;=277825,0.42*P42-10637.32,0.45*P42-18971.07)))))</f>
        <v/>
      </c>
    </row>
    <row r="43" customFormat="false" ht="15" hidden="false" customHeight="false" outlineLevel="0" collapsed="false">
      <c r="A43" s="35" t="n">
        <v>4</v>
      </c>
      <c r="B43" s="29" t="str">
        <f aca="false">IF(Eingaben!$B$17="","",Cashflow!B43)</f>
        <v/>
      </c>
      <c r="C43" s="35" t="n">
        <v>9</v>
      </c>
      <c r="D43" s="36" t="str">
        <f aca="false">IF(Eingaben!$B$17="","",H42)</f>
        <v/>
      </c>
      <c r="E43" s="36" t="str">
        <f aca="false">IF(Eingaben!$B$17="","",MIN(D43,MAX(0,IF(Eingaben!$S$17="Ja",D43*Eingaben!$T$17,Eingaben!$AD$17*Eingaben!$Q$17))))</f>
        <v/>
      </c>
      <c r="F43" s="36" t="str">
        <f aca="false">IF(Eingaben!$B$17="","",MIN(MAX(0,IF(AND(Eingaben!$U$17="Ja",9&lt;=Eingaben!$W$17),Eingaben!$AD$17*Eingaben!$V$17,0)),MAX(0,D43-E43)))</f>
        <v/>
      </c>
      <c r="G43" s="36" t="str">
        <f aca="false">IF(Eingaben!$B$17="","",E43+F43)</f>
        <v/>
      </c>
      <c r="H43" s="36" t="str">
        <f aca="false">IF(Eingaben!$B$17="","",D43-G43)</f>
        <v/>
      </c>
      <c r="I43" s="36" t="str">
        <f aca="false">IF(Eingaben!$B$17="","",Cashflow!E43-Cashflow!G43-G43)</f>
        <v/>
      </c>
      <c r="J43" s="36" t="str">
        <f aca="false">IF(Eingaben!$B$17="","",IF(Eingaben!$D$6="Ja",2*MAX(0,O43),MAX(0,O43)))</f>
        <v/>
      </c>
      <c r="K43" s="36" t="str">
        <f aca="false">IF(Eingaben!$B$17="","",IF(Eingaben!$D$6="Ja",2*MAX(0,Q43),MAX(0,Q43)))</f>
        <v/>
      </c>
      <c r="L43" s="42" t="str">
        <f aca="false">IF(Eingaben!$B$17="","",IF(Eingaben!$D$5&gt;0,J43-K43,-I43*Eingaben!$D$9))</f>
        <v/>
      </c>
      <c r="N43" s="8" t="str">
        <f aca="false">IF(Eingaben!$B$17="","",IF(Eingaben!$D$6="Ja",Eingaben!$F$6/2,Eingaben!$F$6))</f>
        <v/>
      </c>
      <c r="O43" s="8" t="str">
        <f aca="false">IF(Eingaben!$B$17="","",IF(N43&lt;=12348,0,IF(N43&lt;=17799,(914.51*((N43-12348)/10000)+1400)*((N43-12348)/10000),IF(N43&lt;=69878,(181.19*((N43-17799)/10000)+2397)*((N43-17799)/10000)+1025.38,IF(N43&lt;=277825,0.42*N43-10637.32,0.45*N43-18971.07)))))</f>
        <v/>
      </c>
      <c r="P43" s="8" t="str">
        <f aca="false">IF(Eingaben!$B$17="","",IF(Eingaben!$D$6="Ja",MAX(0,Eingaben!$F$6+I43)/2,MAX(0,Eingaben!$F$6+I43)))</f>
        <v/>
      </c>
      <c r="Q43" s="8" t="str">
        <f aca="false">IF(Eingaben!$B$17="","",IF(P43&lt;=12348,0,IF(P43&lt;=17799,(914.51*((P43-12348)/10000)+1400)*((P43-12348)/10000),IF(P43&lt;=69878,(181.19*((P43-17799)/10000)+2397)*((P43-17799)/10000)+1025.38,IF(P43&lt;=277825,0.42*P43-10637.32,0.45*P43-18971.07)))))</f>
        <v/>
      </c>
    </row>
    <row r="44" customFormat="false" ht="15" hidden="false" customHeight="false" outlineLevel="0" collapsed="false">
      <c r="A44" s="35" t="n">
        <v>4</v>
      </c>
      <c r="B44" s="29" t="str">
        <f aca="false">IF(Eingaben!$B$17="","",Cashflow!B44)</f>
        <v/>
      </c>
      <c r="C44" s="35" t="n">
        <v>10</v>
      </c>
      <c r="D44" s="36" t="str">
        <f aca="false">IF(Eingaben!$B$17="","",H43)</f>
        <v/>
      </c>
      <c r="E44" s="36" t="str">
        <f aca="false">IF(Eingaben!$B$17="","",MIN(D44,MAX(0,IF(Eingaben!$S$17="Ja",D44*Eingaben!$T$17,Eingaben!$AD$17*Eingaben!$Q$17))))</f>
        <v/>
      </c>
      <c r="F44" s="36" t="str">
        <f aca="false">IF(Eingaben!$B$17="","",MIN(MAX(0,IF(AND(Eingaben!$U$17="Ja",10&lt;=Eingaben!$W$17),Eingaben!$AD$17*Eingaben!$V$17,0)),MAX(0,D44-E44)))</f>
        <v/>
      </c>
      <c r="G44" s="36" t="str">
        <f aca="false">IF(Eingaben!$B$17="","",E44+F44)</f>
        <v/>
      </c>
      <c r="H44" s="36" t="str">
        <f aca="false">IF(Eingaben!$B$17="","",D44-G44)</f>
        <v/>
      </c>
      <c r="I44" s="36" t="str">
        <f aca="false">IF(Eingaben!$B$17="","",Cashflow!E44-Cashflow!G44-G44)</f>
        <v/>
      </c>
      <c r="J44" s="36" t="str">
        <f aca="false">IF(Eingaben!$B$17="","",IF(Eingaben!$D$6="Ja",2*MAX(0,O44),MAX(0,O44)))</f>
        <v/>
      </c>
      <c r="K44" s="36" t="str">
        <f aca="false">IF(Eingaben!$B$17="","",IF(Eingaben!$D$6="Ja",2*MAX(0,Q44),MAX(0,Q44)))</f>
        <v/>
      </c>
      <c r="L44" s="42" t="str">
        <f aca="false">IF(Eingaben!$B$17="","",IF(Eingaben!$D$5&gt;0,J44-K44,-I44*Eingaben!$D$9))</f>
        <v/>
      </c>
      <c r="N44" s="8" t="str">
        <f aca="false">IF(Eingaben!$B$17="","",IF(Eingaben!$D$6="Ja",Eingaben!$F$6/2,Eingaben!$F$6))</f>
        <v/>
      </c>
      <c r="O44" s="8" t="str">
        <f aca="false">IF(Eingaben!$B$17="","",IF(N44&lt;=12348,0,IF(N44&lt;=17799,(914.51*((N44-12348)/10000)+1400)*((N44-12348)/10000),IF(N44&lt;=69878,(181.19*((N44-17799)/10000)+2397)*((N44-17799)/10000)+1025.38,IF(N44&lt;=277825,0.42*N44-10637.32,0.45*N44-18971.07)))))</f>
        <v/>
      </c>
      <c r="P44" s="8" t="str">
        <f aca="false">IF(Eingaben!$B$17="","",IF(Eingaben!$D$6="Ja",MAX(0,Eingaben!$F$6+I44)/2,MAX(0,Eingaben!$F$6+I44)))</f>
        <v/>
      </c>
      <c r="Q44" s="8" t="str">
        <f aca="false">IF(Eingaben!$B$17="","",IF(P44&lt;=12348,0,IF(P44&lt;=17799,(914.51*((P44-12348)/10000)+1400)*((P44-12348)/10000),IF(P44&lt;=69878,(181.19*((P44-17799)/10000)+2397)*((P44-17799)/10000)+1025.38,IF(P44&lt;=277825,0.42*P44-10637.32,0.45*P44-18971.07)))))</f>
        <v/>
      </c>
    </row>
    <row r="45" customFormat="false" ht="15" hidden="false" customHeight="false" outlineLevel="0" collapsed="false">
      <c r="A45" s="28" t="n">
        <v>5</v>
      </c>
      <c r="B45" s="29" t="str">
        <f aca="false">IF(Eingaben!$B$18="","",Cashflow!B45)</f>
        <v/>
      </c>
      <c r="C45" s="28" t="n">
        <v>1</v>
      </c>
      <c r="D45" s="31" t="str">
        <f aca="false">IF(Eingaben!$B$18="","",Eingaben!$AD$18)</f>
        <v/>
      </c>
      <c r="E45" s="31" t="str">
        <f aca="false">IF(Eingaben!$B$18="","",MIN(D45,MAX(0,IF(Eingaben!$S$18="Ja",D45*Eingaben!$T$18,Eingaben!$AD$18*Eingaben!$Q$18))))</f>
        <v/>
      </c>
      <c r="F45" s="31" t="str">
        <f aca="false">IF(Eingaben!$B$18="","",MIN(MAX(0,IF(AND(Eingaben!$U$18="Ja",1&lt;=Eingaben!$W$18),Eingaben!$AD$18*Eingaben!$V$18,0)),MAX(0,D45-E45)))</f>
        <v/>
      </c>
      <c r="G45" s="31" t="str">
        <f aca="false">IF(Eingaben!$B$18="","",E45+F45)</f>
        <v/>
      </c>
      <c r="H45" s="31" t="str">
        <f aca="false">IF(Eingaben!$B$18="","",D45-G45)</f>
        <v/>
      </c>
      <c r="I45" s="31" t="str">
        <f aca="false">IF(Eingaben!$B$18="","",Cashflow!E45-Cashflow!G45-G45)</f>
        <v/>
      </c>
      <c r="J45" s="31" t="str">
        <f aca="false">IF(Eingaben!$B$18="","",IF(Eingaben!$D$6="Ja",2*MAX(0,O45),MAX(0,O45)))</f>
        <v/>
      </c>
      <c r="K45" s="31" t="str">
        <f aca="false">IF(Eingaben!$B$18="","",IF(Eingaben!$D$6="Ja",2*MAX(0,Q45),MAX(0,Q45)))</f>
        <v/>
      </c>
      <c r="L45" s="40" t="str">
        <f aca="false">IF(Eingaben!$B$18="","",IF(Eingaben!$D$5&gt;0,J45-K45,-I45*Eingaben!$D$9))</f>
        <v/>
      </c>
      <c r="N45" s="8" t="str">
        <f aca="false">IF(Eingaben!$B$18="","",IF(Eingaben!$D$6="Ja",Eingaben!$F$6/2,Eingaben!$F$6))</f>
        <v/>
      </c>
      <c r="O45" s="8" t="str">
        <f aca="false">IF(Eingaben!$B$18="","",IF(N45&lt;=12348,0,IF(N45&lt;=17799,(914.51*((N45-12348)/10000)+1400)*((N45-12348)/10000),IF(N45&lt;=69878,(181.19*((N45-17799)/10000)+2397)*((N45-17799)/10000)+1025.38,IF(N45&lt;=277825,0.42*N45-10637.32,0.45*N45-18971.07)))))</f>
        <v/>
      </c>
      <c r="P45" s="8" t="str">
        <f aca="false">IF(Eingaben!$B$18="","",IF(Eingaben!$D$6="Ja",MAX(0,Eingaben!$F$6+I45)/2,MAX(0,Eingaben!$F$6+I45)))</f>
        <v/>
      </c>
      <c r="Q45" s="8" t="str">
        <f aca="false">IF(Eingaben!$B$18="","",IF(P45&lt;=12348,0,IF(P45&lt;=17799,(914.51*((P45-12348)/10000)+1400)*((P45-12348)/10000),IF(P45&lt;=69878,(181.19*((P45-17799)/10000)+2397)*((P45-17799)/10000)+1025.38,IF(P45&lt;=277825,0.42*P45-10637.32,0.45*P45-18971.07)))))</f>
        <v/>
      </c>
    </row>
    <row r="46" customFormat="false" ht="15" hidden="false" customHeight="false" outlineLevel="0" collapsed="false">
      <c r="A46" s="28" t="n">
        <v>5</v>
      </c>
      <c r="B46" s="29" t="str">
        <f aca="false">IF(Eingaben!$B$18="","",Cashflow!B46)</f>
        <v/>
      </c>
      <c r="C46" s="28" t="n">
        <v>2</v>
      </c>
      <c r="D46" s="31" t="str">
        <f aca="false">IF(Eingaben!$B$18="","",H45)</f>
        <v/>
      </c>
      <c r="E46" s="31" t="str">
        <f aca="false">IF(Eingaben!$B$18="","",MIN(D46,MAX(0,IF(Eingaben!$S$18="Ja",D46*Eingaben!$T$18,Eingaben!$AD$18*Eingaben!$Q$18))))</f>
        <v/>
      </c>
      <c r="F46" s="31" t="str">
        <f aca="false">IF(Eingaben!$B$18="","",MIN(MAX(0,IF(AND(Eingaben!$U$18="Ja",2&lt;=Eingaben!$W$18),Eingaben!$AD$18*Eingaben!$V$18,0)),MAX(0,D46-E46)))</f>
        <v/>
      </c>
      <c r="G46" s="31" t="str">
        <f aca="false">IF(Eingaben!$B$18="","",E46+F46)</f>
        <v/>
      </c>
      <c r="H46" s="31" t="str">
        <f aca="false">IF(Eingaben!$B$18="","",D46-G46)</f>
        <v/>
      </c>
      <c r="I46" s="31" t="str">
        <f aca="false">IF(Eingaben!$B$18="","",Cashflow!E46-Cashflow!G46-G46)</f>
        <v/>
      </c>
      <c r="J46" s="31" t="str">
        <f aca="false">IF(Eingaben!$B$18="","",IF(Eingaben!$D$6="Ja",2*MAX(0,O46),MAX(0,O46)))</f>
        <v/>
      </c>
      <c r="K46" s="31" t="str">
        <f aca="false">IF(Eingaben!$B$18="","",IF(Eingaben!$D$6="Ja",2*MAX(0,Q46),MAX(0,Q46)))</f>
        <v/>
      </c>
      <c r="L46" s="40" t="str">
        <f aca="false">IF(Eingaben!$B$18="","",IF(Eingaben!$D$5&gt;0,J46-K46,-I46*Eingaben!$D$9))</f>
        <v/>
      </c>
      <c r="N46" s="8" t="str">
        <f aca="false">IF(Eingaben!$B$18="","",IF(Eingaben!$D$6="Ja",Eingaben!$F$6/2,Eingaben!$F$6))</f>
        <v/>
      </c>
      <c r="O46" s="8" t="str">
        <f aca="false">IF(Eingaben!$B$18="","",IF(N46&lt;=12348,0,IF(N46&lt;=17799,(914.51*((N46-12348)/10000)+1400)*((N46-12348)/10000),IF(N46&lt;=69878,(181.19*((N46-17799)/10000)+2397)*((N46-17799)/10000)+1025.38,IF(N46&lt;=277825,0.42*N46-10637.32,0.45*N46-18971.07)))))</f>
        <v/>
      </c>
      <c r="P46" s="8" t="str">
        <f aca="false">IF(Eingaben!$B$18="","",IF(Eingaben!$D$6="Ja",MAX(0,Eingaben!$F$6+I46)/2,MAX(0,Eingaben!$F$6+I46)))</f>
        <v/>
      </c>
      <c r="Q46" s="8" t="str">
        <f aca="false">IF(Eingaben!$B$18="","",IF(P46&lt;=12348,0,IF(P46&lt;=17799,(914.51*((P46-12348)/10000)+1400)*((P46-12348)/10000),IF(P46&lt;=69878,(181.19*((P46-17799)/10000)+2397)*((P46-17799)/10000)+1025.38,IF(P46&lt;=277825,0.42*P46-10637.32,0.45*P46-18971.07)))))</f>
        <v/>
      </c>
    </row>
    <row r="47" customFormat="false" ht="15" hidden="false" customHeight="false" outlineLevel="0" collapsed="false">
      <c r="A47" s="28" t="n">
        <v>5</v>
      </c>
      <c r="B47" s="29" t="str">
        <f aca="false">IF(Eingaben!$B$18="","",Cashflow!B47)</f>
        <v/>
      </c>
      <c r="C47" s="28" t="n">
        <v>3</v>
      </c>
      <c r="D47" s="31" t="str">
        <f aca="false">IF(Eingaben!$B$18="","",H46)</f>
        <v/>
      </c>
      <c r="E47" s="31" t="str">
        <f aca="false">IF(Eingaben!$B$18="","",MIN(D47,MAX(0,IF(Eingaben!$S$18="Ja",D47*Eingaben!$T$18,Eingaben!$AD$18*Eingaben!$Q$18))))</f>
        <v/>
      </c>
      <c r="F47" s="31" t="str">
        <f aca="false">IF(Eingaben!$B$18="","",MIN(MAX(0,IF(AND(Eingaben!$U$18="Ja",3&lt;=Eingaben!$W$18),Eingaben!$AD$18*Eingaben!$V$18,0)),MAX(0,D47-E47)))</f>
        <v/>
      </c>
      <c r="G47" s="31" t="str">
        <f aca="false">IF(Eingaben!$B$18="","",E47+F47)</f>
        <v/>
      </c>
      <c r="H47" s="31" t="str">
        <f aca="false">IF(Eingaben!$B$18="","",D47-G47)</f>
        <v/>
      </c>
      <c r="I47" s="31" t="str">
        <f aca="false">IF(Eingaben!$B$18="","",Cashflow!E47-Cashflow!G47-G47)</f>
        <v/>
      </c>
      <c r="J47" s="31" t="str">
        <f aca="false">IF(Eingaben!$B$18="","",IF(Eingaben!$D$6="Ja",2*MAX(0,O47),MAX(0,O47)))</f>
        <v/>
      </c>
      <c r="K47" s="31" t="str">
        <f aca="false">IF(Eingaben!$B$18="","",IF(Eingaben!$D$6="Ja",2*MAX(0,Q47),MAX(0,Q47)))</f>
        <v/>
      </c>
      <c r="L47" s="40" t="str">
        <f aca="false">IF(Eingaben!$B$18="","",IF(Eingaben!$D$5&gt;0,J47-K47,-I47*Eingaben!$D$9))</f>
        <v/>
      </c>
      <c r="N47" s="8" t="str">
        <f aca="false">IF(Eingaben!$B$18="","",IF(Eingaben!$D$6="Ja",Eingaben!$F$6/2,Eingaben!$F$6))</f>
        <v/>
      </c>
      <c r="O47" s="8" t="str">
        <f aca="false">IF(Eingaben!$B$18="","",IF(N47&lt;=12348,0,IF(N47&lt;=17799,(914.51*((N47-12348)/10000)+1400)*((N47-12348)/10000),IF(N47&lt;=69878,(181.19*((N47-17799)/10000)+2397)*((N47-17799)/10000)+1025.38,IF(N47&lt;=277825,0.42*N47-10637.32,0.45*N47-18971.07)))))</f>
        <v/>
      </c>
      <c r="P47" s="8" t="str">
        <f aca="false">IF(Eingaben!$B$18="","",IF(Eingaben!$D$6="Ja",MAX(0,Eingaben!$F$6+I47)/2,MAX(0,Eingaben!$F$6+I47)))</f>
        <v/>
      </c>
      <c r="Q47" s="8" t="str">
        <f aca="false">IF(Eingaben!$B$18="","",IF(P47&lt;=12348,0,IF(P47&lt;=17799,(914.51*((P47-12348)/10000)+1400)*((P47-12348)/10000),IF(P47&lt;=69878,(181.19*((P47-17799)/10000)+2397)*((P47-17799)/10000)+1025.38,IF(P47&lt;=277825,0.42*P47-10637.32,0.45*P47-18971.07)))))</f>
        <v/>
      </c>
    </row>
    <row r="48" customFormat="false" ht="15" hidden="false" customHeight="false" outlineLevel="0" collapsed="false">
      <c r="A48" s="28" t="n">
        <v>5</v>
      </c>
      <c r="B48" s="29" t="str">
        <f aca="false">IF(Eingaben!$B$18="","",Cashflow!B48)</f>
        <v/>
      </c>
      <c r="C48" s="28" t="n">
        <v>4</v>
      </c>
      <c r="D48" s="31" t="str">
        <f aca="false">IF(Eingaben!$B$18="","",H47)</f>
        <v/>
      </c>
      <c r="E48" s="31" t="str">
        <f aca="false">IF(Eingaben!$B$18="","",MIN(D48,MAX(0,IF(Eingaben!$S$18="Ja",D48*Eingaben!$T$18,Eingaben!$AD$18*Eingaben!$Q$18))))</f>
        <v/>
      </c>
      <c r="F48" s="31" t="str">
        <f aca="false">IF(Eingaben!$B$18="","",MIN(MAX(0,IF(AND(Eingaben!$U$18="Ja",4&lt;=Eingaben!$W$18),Eingaben!$AD$18*Eingaben!$V$18,0)),MAX(0,D48-E48)))</f>
        <v/>
      </c>
      <c r="G48" s="31" t="str">
        <f aca="false">IF(Eingaben!$B$18="","",E48+F48)</f>
        <v/>
      </c>
      <c r="H48" s="31" t="str">
        <f aca="false">IF(Eingaben!$B$18="","",D48-G48)</f>
        <v/>
      </c>
      <c r="I48" s="31" t="str">
        <f aca="false">IF(Eingaben!$B$18="","",Cashflow!E48-Cashflow!G48-G48)</f>
        <v/>
      </c>
      <c r="J48" s="31" t="str">
        <f aca="false">IF(Eingaben!$B$18="","",IF(Eingaben!$D$6="Ja",2*MAX(0,O48),MAX(0,O48)))</f>
        <v/>
      </c>
      <c r="K48" s="31" t="str">
        <f aca="false">IF(Eingaben!$B$18="","",IF(Eingaben!$D$6="Ja",2*MAX(0,Q48),MAX(0,Q48)))</f>
        <v/>
      </c>
      <c r="L48" s="40" t="str">
        <f aca="false">IF(Eingaben!$B$18="","",IF(Eingaben!$D$5&gt;0,J48-K48,-I48*Eingaben!$D$9))</f>
        <v/>
      </c>
      <c r="N48" s="8" t="str">
        <f aca="false">IF(Eingaben!$B$18="","",IF(Eingaben!$D$6="Ja",Eingaben!$F$6/2,Eingaben!$F$6))</f>
        <v/>
      </c>
      <c r="O48" s="8" t="str">
        <f aca="false">IF(Eingaben!$B$18="","",IF(N48&lt;=12348,0,IF(N48&lt;=17799,(914.51*((N48-12348)/10000)+1400)*((N48-12348)/10000),IF(N48&lt;=69878,(181.19*((N48-17799)/10000)+2397)*((N48-17799)/10000)+1025.38,IF(N48&lt;=277825,0.42*N48-10637.32,0.45*N48-18971.07)))))</f>
        <v/>
      </c>
      <c r="P48" s="8" t="str">
        <f aca="false">IF(Eingaben!$B$18="","",IF(Eingaben!$D$6="Ja",MAX(0,Eingaben!$F$6+I48)/2,MAX(0,Eingaben!$F$6+I48)))</f>
        <v/>
      </c>
      <c r="Q48" s="8" t="str">
        <f aca="false">IF(Eingaben!$B$18="","",IF(P48&lt;=12348,0,IF(P48&lt;=17799,(914.51*((P48-12348)/10000)+1400)*((P48-12348)/10000),IF(P48&lt;=69878,(181.19*((P48-17799)/10000)+2397)*((P48-17799)/10000)+1025.38,IF(P48&lt;=277825,0.42*P48-10637.32,0.45*P48-18971.07)))))</f>
        <v/>
      </c>
    </row>
    <row r="49" customFormat="false" ht="15" hidden="false" customHeight="false" outlineLevel="0" collapsed="false">
      <c r="A49" s="28" t="n">
        <v>5</v>
      </c>
      <c r="B49" s="29" t="str">
        <f aca="false">IF(Eingaben!$B$18="","",Cashflow!B49)</f>
        <v/>
      </c>
      <c r="C49" s="28" t="n">
        <v>5</v>
      </c>
      <c r="D49" s="31" t="str">
        <f aca="false">IF(Eingaben!$B$18="","",H48)</f>
        <v/>
      </c>
      <c r="E49" s="31" t="str">
        <f aca="false">IF(Eingaben!$B$18="","",MIN(D49,MAX(0,IF(Eingaben!$S$18="Ja",D49*Eingaben!$T$18,Eingaben!$AD$18*Eingaben!$Q$18))))</f>
        <v/>
      </c>
      <c r="F49" s="31" t="str">
        <f aca="false">IF(Eingaben!$B$18="","",MIN(MAX(0,IF(AND(Eingaben!$U$18="Ja",5&lt;=Eingaben!$W$18),Eingaben!$AD$18*Eingaben!$V$18,0)),MAX(0,D49-E49)))</f>
        <v/>
      </c>
      <c r="G49" s="31" t="str">
        <f aca="false">IF(Eingaben!$B$18="","",E49+F49)</f>
        <v/>
      </c>
      <c r="H49" s="31" t="str">
        <f aca="false">IF(Eingaben!$B$18="","",D49-G49)</f>
        <v/>
      </c>
      <c r="I49" s="31" t="str">
        <f aca="false">IF(Eingaben!$B$18="","",Cashflow!E49-Cashflow!G49-G49)</f>
        <v/>
      </c>
      <c r="J49" s="31" t="str">
        <f aca="false">IF(Eingaben!$B$18="","",IF(Eingaben!$D$6="Ja",2*MAX(0,O49),MAX(0,O49)))</f>
        <v/>
      </c>
      <c r="K49" s="31" t="str">
        <f aca="false">IF(Eingaben!$B$18="","",IF(Eingaben!$D$6="Ja",2*MAX(0,Q49),MAX(0,Q49)))</f>
        <v/>
      </c>
      <c r="L49" s="40" t="str">
        <f aca="false">IF(Eingaben!$B$18="","",IF(Eingaben!$D$5&gt;0,J49-K49,-I49*Eingaben!$D$9))</f>
        <v/>
      </c>
      <c r="N49" s="8" t="str">
        <f aca="false">IF(Eingaben!$B$18="","",IF(Eingaben!$D$6="Ja",Eingaben!$F$6/2,Eingaben!$F$6))</f>
        <v/>
      </c>
      <c r="O49" s="8" t="str">
        <f aca="false">IF(Eingaben!$B$18="","",IF(N49&lt;=12348,0,IF(N49&lt;=17799,(914.51*((N49-12348)/10000)+1400)*((N49-12348)/10000),IF(N49&lt;=69878,(181.19*((N49-17799)/10000)+2397)*((N49-17799)/10000)+1025.38,IF(N49&lt;=277825,0.42*N49-10637.32,0.45*N49-18971.07)))))</f>
        <v/>
      </c>
      <c r="P49" s="8" t="str">
        <f aca="false">IF(Eingaben!$B$18="","",IF(Eingaben!$D$6="Ja",MAX(0,Eingaben!$F$6+I49)/2,MAX(0,Eingaben!$F$6+I49)))</f>
        <v/>
      </c>
      <c r="Q49" s="8" t="str">
        <f aca="false">IF(Eingaben!$B$18="","",IF(P49&lt;=12348,0,IF(P49&lt;=17799,(914.51*((P49-12348)/10000)+1400)*((P49-12348)/10000),IF(P49&lt;=69878,(181.19*((P49-17799)/10000)+2397)*((P49-17799)/10000)+1025.38,IF(P49&lt;=277825,0.42*P49-10637.32,0.45*P49-18971.07)))))</f>
        <v/>
      </c>
    </row>
    <row r="50" customFormat="false" ht="15" hidden="false" customHeight="false" outlineLevel="0" collapsed="false">
      <c r="A50" s="28" t="n">
        <v>5</v>
      </c>
      <c r="B50" s="29" t="str">
        <f aca="false">IF(Eingaben!$B$18="","",Cashflow!B50)</f>
        <v/>
      </c>
      <c r="C50" s="28" t="n">
        <v>6</v>
      </c>
      <c r="D50" s="31" t="str">
        <f aca="false">IF(Eingaben!$B$18="","",H49)</f>
        <v/>
      </c>
      <c r="E50" s="31" t="str">
        <f aca="false">IF(Eingaben!$B$18="","",MIN(D50,MAX(0,IF(Eingaben!$S$18="Ja",D50*Eingaben!$T$18,Eingaben!$AD$18*Eingaben!$Q$18))))</f>
        <v/>
      </c>
      <c r="F50" s="31" t="str">
        <f aca="false">IF(Eingaben!$B$18="","",MIN(MAX(0,IF(AND(Eingaben!$U$18="Ja",6&lt;=Eingaben!$W$18),Eingaben!$AD$18*Eingaben!$V$18,0)),MAX(0,D50-E50)))</f>
        <v/>
      </c>
      <c r="G50" s="31" t="str">
        <f aca="false">IF(Eingaben!$B$18="","",E50+F50)</f>
        <v/>
      </c>
      <c r="H50" s="31" t="str">
        <f aca="false">IF(Eingaben!$B$18="","",D50-G50)</f>
        <v/>
      </c>
      <c r="I50" s="31" t="str">
        <f aca="false">IF(Eingaben!$B$18="","",Cashflow!E50-Cashflow!G50-G50)</f>
        <v/>
      </c>
      <c r="J50" s="31" t="str">
        <f aca="false">IF(Eingaben!$B$18="","",IF(Eingaben!$D$6="Ja",2*MAX(0,O50),MAX(0,O50)))</f>
        <v/>
      </c>
      <c r="K50" s="31" t="str">
        <f aca="false">IF(Eingaben!$B$18="","",IF(Eingaben!$D$6="Ja",2*MAX(0,Q50),MAX(0,Q50)))</f>
        <v/>
      </c>
      <c r="L50" s="40" t="str">
        <f aca="false">IF(Eingaben!$B$18="","",IF(Eingaben!$D$5&gt;0,J50-K50,-I50*Eingaben!$D$9))</f>
        <v/>
      </c>
      <c r="N50" s="8" t="str">
        <f aca="false">IF(Eingaben!$B$18="","",IF(Eingaben!$D$6="Ja",Eingaben!$F$6/2,Eingaben!$F$6))</f>
        <v/>
      </c>
      <c r="O50" s="8" t="str">
        <f aca="false">IF(Eingaben!$B$18="","",IF(N50&lt;=12348,0,IF(N50&lt;=17799,(914.51*((N50-12348)/10000)+1400)*((N50-12348)/10000),IF(N50&lt;=69878,(181.19*((N50-17799)/10000)+2397)*((N50-17799)/10000)+1025.38,IF(N50&lt;=277825,0.42*N50-10637.32,0.45*N50-18971.07)))))</f>
        <v/>
      </c>
      <c r="P50" s="8" t="str">
        <f aca="false">IF(Eingaben!$B$18="","",IF(Eingaben!$D$6="Ja",MAX(0,Eingaben!$F$6+I50)/2,MAX(0,Eingaben!$F$6+I50)))</f>
        <v/>
      </c>
      <c r="Q50" s="8" t="str">
        <f aca="false">IF(Eingaben!$B$18="","",IF(P50&lt;=12348,0,IF(P50&lt;=17799,(914.51*((P50-12348)/10000)+1400)*((P50-12348)/10000),IF(P50&lt;=69878,(181.19*((P50-17799)/10000)+2397)*((P50-17799)/10000)+1025.38,IF(P50&lt;=277825,0.42*P50-10637.32,0.45*P50-18971.07)))))</f>
        <v/>
      </c>
    </row>
    <row r="51" customFormat="false" ht="15" hidden="false" customHeight="false" outlineLevel="0" collapsed="false">
      <c r="A51" s="28" t="n">
        <v>5</v>
      </c>
      <c r="B51" s="29" t="str">
        <f aca="false">IF(Eingaben!$B$18="","",Cashflow!B51)</f>
        <v/>
      </c>
      <c r="C51" s="28" t="n">
        <v>7</v>
      </c>
      <c r="D51" s="31" t="str">
        <f aca="false">IF(Eingaben!$B$18="","",H50)</f>
        <v/>
      </c>
      <c r="E51" s="31" t="str">
        <f aca="false">IF(Eingaben!$B$18="","",MIN(D51,MAX(0,IF(Eingaben!$S$18="Ja",D51*Eingaben!$T$18,Eingaben!$AD$18*Eingaben!$Q$18))))</f>
        <v/>
      </c>
      <c r="F51" s="31" t="str">
        <f aca="false">IF(Eingaben!$B$18="","",MIN(MAX(0,IF(AND(Eingaben!$U$18="Ja",7&lt;=Eingaben!$W$18),Eingaben!$AD$18*Eingaben!$V$18,0)),MAX(0,D51-E51)))</f>
        <v/>
      </c>
      <c r="G51" s="31" t="str">
        <f aca="false">IF(Eingaben!$B$18="","",E51+F51)</f>
        <v/>
      </c>
      <c r="H51" s="31" t="str">
        <f aca="false">IF(Eingaben!$B$18="","",D51-G51)</f>
        <v/>
      </c>
      <c r="I51" s="31" t="str">
        <f aca="false">IF(Eingaben!$B$18="","",Cashflow!E51-Cashflow!G51-G51)</f>
        <v/>
      </c>
      <c r="J51" s="31" t="str">
        <f aca="false">IF(Eingaben!$B$18="","",IF(Eingaben!$D$6="Ja",2*MAX(0,O51),MAX(0,O51)))</f>
        <v/>
      </c>
      <c r="K51" s="31" t="str">
        <f aca="false">IF(Eingaben!$B$18="","",IF(Eingaben!$D$6="Ja",2*MAX(0,Q51),MAX(0,Q51)))</f>
        <v/>
      </c>
      <c r="L51" s="40" t="str">
        <f aca="false">IF(Eingaben!$B$18="","",IF(Eingaben!$D$5&gt;0,J51-K51,-I51*Eingaben!$D$9))</f>
        <v/>
      </c>
      <c r="N51" s="8" t="str">
        <f aca="false">IF(Eingaben!$B$18="","",IF(Eingaben!$D$6="Ja",Eingaben!$F$6/2,Eingaben!$F$6))</f>
        <v/>
      </c>
      <c r="O51" s="8" t="str">
        <f aca="false">IF(Eingaben!$B$18="","",IF(N51&lt;=12348,0,IF(N51&lt;=17799,(914.51*((N51-12348)/10000)+1400)*((N51-12348)/10000),IF(N51&lt;=69878,(181.19*((N51-17799)/10000)+2397)*((N51-17799)/10000)+1025.38,IF(N51&lt;=277825,0.42*N51-10637.32,0.45*N51-18971.07)))))</f>
        <v/>
      </c>
      <c r="P51" s="8" t="str">
        <f aca="false">IF(Eingaben!$B$18="","",IF(Eingaben!$D$6="Ja",MAX(0,Eingaben!$F$6+I51)/2,MAX(0,Eingaben!$F$6+I51)))</f>
        <v/>
      </c>
      <c r="Q51" s="8" t="str">
        <f aca="false">IF(Eingaben!$B$18="","",IF(P51&lt;=12348,0,IF(P51&lt;=17799,(914.51*((P51-12348)/10000)+1400)*((P51-12348)/10000),IF(P51&lt;=69878,(181.19*((P51-17799)/10000)+2397)*((P51-17799)/10000)+1025.38,IF(P51&lt;=277825,0.42*P51-10637.32,0.45*P51-18971.07)))))</f>
        <v/>
      </c>
    </row>
    <row r="52" customFormat="false" ht="15" hidden="false" customHeight="false" outlineLevel="0" collapsed="false">
      <c r="A52" s="28" t="n">
        <v>5</v>
      </c>
      <c r="B52" s="29" t="str">
        <f aca="false">IF(Eingaben!$B$18="","",Cashflow!B52)</f>
        <v/>
      </c>
      <c r="C52" s="28" t="n">
        <v>8</v>
      </c>
      <c r="D52" s="31" t="str">
        <f aca="false">IF(Eingaben!$B$18="","",H51)</f>
        <v/>
      </c>
      <c r="E52" s="31" t="str">
        <f aca="false">IF(Eingaben!$B$18="","",MIN(D52,MAX(0,IF(Eingaben!$S$18="Ja",D52*Eingaben!$T$18,Eingaben!$AD$18*Eingaben!$Q$18))))</f>
        <v/>
      </c>
      <c r="F52" s="31" t="str">
        <f aca="false">IF(Eingaben!$B$18="","",MIN(MAX(0,IF(AND(Eingaben!$U$18="Ja",8&lt;=Eingaben!$W$18),Eingaben!$AD$18*Eingaben!$V$18,0)),MAX(0,D52-E52)))</f>
        <v/>
      </c>
      <c r="G52" s="31" t="str">
        <f aca="false">IF(Eingaben!$B$18="","",E52+F52)</f>
        <v/>
      </c>
      <c r="H52" s="31" t="str">
        <f aca="false">IF(Eingaben!$B$18="","",D52-G52)</f>
        <v/>
      </c>
      <c r="I52" s="31" t="str">
        <f aca="false">IF(Eingaben!$B$18="","",Cashflow!E52-Cashflow!G52-G52)</f>
        <v/>
      </c>
      <c r="J52" s="31" t="str">
        <f aca="false">IF(Eingaben!$B$18="","",IF(Eingaben!$D$6="Ja",2*MAX(0,O52),MAX(0,O52)))</f>
        <v/>
      </c>
      <c r="K52" s="31" t="str">
        <f aca="false">IF(Eingaben!$B$18="","",IF(Eingaben!$D$6="Ja",2*MAX(0,Q52),MAX(0,Q52)))</f>
        <v/>
      </c>
      <c r="L52" s="40" t="str">
        <f aca="false">IF(Eingaben!$B$18="","",IF(Eingaben!$D$5&gt;0,J52-K52,-I52*Eingaben!$D$9))</f>
        <v/>
      </c>
      <c r="N52" s="8" t="str">
        <f aca="false">IF(Eingaben!$B$18="","",IF(Eingaben!$D$6="Ja",Eingaben!$F$6/2,Eingaben!$F$6))</f>
        <v/>
      </c>
      <c r="O52" s="8" t="str">
        <f aca="false">IF(Eingaben!$B$18="","",IF(N52&lt;=12348,0,IF(N52&lt;=17799,(914.51*((N52-12348)/10000)+1400)*((N52-12348)/10000),IF(N52&lt;=69878,(181.19*((N52-17799)/10000)+2397)*((N52-17799)/10000)+1025.38,IF(N52&lt;=277825,0.42*N52-10637.32,0.45*N52-18971.07)))))</f>
        <v/>
      </c>
      <c r="P52" s="8" t="str">
        <f aca="false">IF(Eingaben!$B$18="","",IF(Eingaben!$D$6="Ja",MAX(0,Eingaben!$F$6+I52)/2,MAX(0,Eingaben!$F$6+I52)))</f>
        <v/>
      </c>
      <c r="Q52" s="8" t="str">
        <f aca="false">IF(Eingaben!$B$18="","",IF(P52&lt;=12348,0,IF(P52&lt;=17799,(914.51*((P52-12348)/10000)+1400)*((P52-12348)/10000),IF(P52&lt;=69878,(181.19*((P52-17799)/10000)+2397)*((P52-17799)/10000)+1025.38,IF(P52&lt;=277825,0.42*P52-10637.32,0.45*P52-18971.07)))))</f>
        <v/>
      </c>
    </row>
    <row r="53" customFormat="false" ht="15" hidden="false" customHeight="false" outlineLevel="0" collapsed="false">
      <c r="A53" s="28" t="n">
        <v>5</v>
      </c>
      <c r="B53" s="29" t="str">
        <f aca="false">IF(Eingaben!$B$18="","",Cashflow!B53)</f>
        <v/>
      </c>
      <c r="C53" s="28" t="n">
        <v>9</v>
      </c>
      <c r="D53" s="31" t="str">
        <f aca="false">IF(Eingaben!$B$18="","",H52)</f>
        <v/>
      </c>
      <c r="E53" s="31" t="str">
        <f aca="false">IF(Eingaben!$B$18="","",MIN(D53,MAX(0,IF(Eingaben!$S$18="Ja",D53*Eingaben!$T$18,Eingaben!$AD$18*Eingaben!$Q$18))))</f>
        <v/>
      </c>
      <c r="F53" s="31" t="str">
        <f aca="false">IF(Eingaben!$B$18="","",MIN(MAX(0,IF(AND(Eingaben!$U$18="Ja",9&lt;=Eingaben!$W$18),Eingaben!$AD$18*Eingaben!$V$18,0)),MAX(0,D53-E53)))</f>
        <v/>
      </c>
      <c r="G53" s="31" t="str">
        <f aca="false">IF(Eingaben!$B$18="","",E53+F53)</f>
        <v/>
      </c>
      <c r="H53" s="31" t="str">
        <f aca="false">IF(Eingaben!$B$18="","",D53-G53)</f>
        <v/>
      </c>
      <c r="I53" s="31" t="str">
        <f aca="false">IF(Eingaben!$B$18="","",Cashflow!E53-Cashflow!G53-G53)</f>
        <v/>
      </c>
      <c r="J53" s="31" t="str">
        <f aca="false">IF(Eingaben!$B$18="","",IF(Eingaben!$D$6="Ja",2*MAX(0,O53),MAX(0,O53)))</f>
        <v/>
      </c>
      <c r="K53" s="31" t="str">
        <f aca="false">IF(Eingaben!$B$18="","",IF(Eingaben!$D$6="Ja",2*MAX(0,Q53),MAX(0,Q53)))</f>
        <v/>
      </c>
      <c r="L53" s="40" t="str">
        <f aca="false">IF(Eingaben!$B$18="","",IF(Eingaben!$D$5&gt;0,J53-K53,-I53*Eingaben!$D$9))</f>
        <v/>
      </c>
      <c r="N53" s="8" t="str">
        <f aca="false">IF(Eingaben!$B$18="","",IF(Eingaben!$D$6="Ja",Eingaben!$F$6/2,Eingaben!$F$6))</f>
        <v/>
      </c>
      <c r="O53" s="8" t="str">
        <f aca="false">IF(Eingaben!$B$18="","",IF(N53&lt;=12348,0,IF(N53&lt;=17799,(914.51*((N53-12348)/10000)+1400)*((N53-12348)/10000),IF(N53&lt;=69878,(181.19*((N53-17799)/10000)+2397)*((N53-17799)/10000)+1025.38,IF(N53&lt;=277825,0.42*N53-10637.32,0.45*N53-18971.07)))))</f>
        <v/>
      </c>
      <c r="P53" s="8" t="str">
        <f aca="false">IF(Eingaben!$B$18="","",IF(Eingaben!$D$6="Ja",MAX(0,Eingaben!$F$6+I53)/2,MAX(0,Eingaben!$F$6+I53)))</f>
        <v/>
      </c>
      <c r="Q53" s="8" t="str">
        <f aca="false">IF(Eingaben!$B$18="","",IF(P53&lt;=12348,0,IF(P53&lt;=17799,(914.51*((P53-12348)/10000)+1400)*((P53-12348)/10000),IF(P53&lt;=69878,(181.19*((P53-17799)/10000)+2397)*((P53-17799)/10000)+1025.38,IF(P53&lt;=277825,0.42*P53-10637.32,0.45*P53-18971.07)))))</f>
        <v/>
      </c>
    </row>
    <row r="54" customFormat="false" ht="15" hidden="false" customHeight="false" outlineLevel="0" collapsed="false">
      <c r="A54" s="28" t="n">
        <v>5</v>
      </c>
      <c r="B54" s="29" t="str">
        <f aca="false">IF(Eingaben!$B$18="","",Cashflow!B54)</f>
        <v/>
      </c>
      <c r="C54" s="28" t="n">
        <v>10</v>
      </c>
      <c r="D54" s="31" t="str">
        <f aca="false">IF(Eingaben!$B$18="","",H53)</f>
        <v/>
      </c>
      <c r="E54" s="31" t="str">
        <f aca="false">IF(Eingaben!$B$18="","",MIN(D54,MAX(0,IF(Eingaben!$S$18="Ja",D54*Eingaben!$T$18,Eingaben!$AD$18*Eingaben!$Q$18))))</f>
        <v/>
      </c>
      <c r="F54" s="31" t="str">
        <f aca="false">IF(Eingaben!$B$18="","",MIN(MAX(0,IF(AND(Eingaben!$U$18="Ja",10&lt;=Eingaben!$W$18),Eingaben!$AD$18*Eingaben!$V$18,0)),MAX(0,D54-E54)))</f>
        <v/>
      </c>
      <c r="G54" s="31" t="str">
        <f aca="false">IF(Eingaben!$B$18="","",E54+F54)</f>
        <v/>
      </c>
      <c r="H54" s="31" t="str">
        <f aca="false">IF(Eingaben!$B$18="","",D54-G54)</f>
        <v/>
      </c>
      <c r="I54" s="31" t="str">
        <f aca="false">IF(Eingaben!$B$18="","",Cashflow!E54-Cashflow!G54-G54)</f>
        <v/>
      </c>
      <c r="J54" s="31" t="str">
        <f aca="false">IF(Eingaben!$B$18="","",IF(Eingaben!$D$6="Ja",2*MAX(0,O54),MAX(0,O54)))</f>
        <v/>
      </c>
      <c r="K54" s="31" t="str">
        <f aca="false">IF(Eingaben!$B$18="","",IF(Eingaben!$D$6="Ja",2*MAX(0,Q54),MAX(0,Q54)))</f>
        <v/>
      </c>
      <c r="L54" s="40" t="str">
        <f aca="false">IF(Eingaben!$B$18="","",IF(Eingaben!$D$5&gt;0,J54-K54,-I54*Eingaben!$D$9))</f>
        <v/>
      </c>
      <c r="N54" s="8" t="str">
        <f aca="false">IF(Eingaben!$B$18="","",IF(Eingaben!$D$6="Ja",Eingaben!$F$6/2,Eingaben!$F$6))</f>
        <v/>
      </c>
      <c r="O54" s="8" t="str">
        <f aca="false">IF(Eingaben!$B$18="","",IF(N54&lt;=12348,0,IF(N54&lt;=17799,(914.51*((N54-12348)/10000)+1400)*((N54-12348)/10000),IF(N54&lt;=69878,(181.19*((N54-17799)/10000)+2397)*((N54-17799)/10000)+1025.38,IF(N54&lt;=277825,0.42*N54-10637.32,0.45*N54-18971.07)))))</f>
        <v/>
      </c>
      <c r="P54" s="8" t="str">
        <f aca="false">IF(Eingaben!$B$18="","",IF(Eingaben!$D$6="Ja",MAX(0,Eingaben!$F$6+I54)/2,MAX(0,Eingaben!$F$6+I54)))</f>
        <v/>
      </c>
      <c r="Q54" s="8" t="str">
        <f aca="false">IF(Eingaben!$B$18="","",IF(P54&lt;=12348,0,IF(P54&lt;=17799,(914.51*((P54-12348)/10000)+1400)*((P54-12348)/10000),IF(P54&lt;=69878,(181.19*((P54-17799)/10000)+2397)*((P54-17799)/10000)+1025.38,IF(P54&lt;=277825,0.42*P54-10637.32,0.45*P54-18971.07)))))</f>
        <v/>
      </c>
    </row>
    <row r="55" customFormat="false" ht="15" hidden="false" customHeight="false" outlineLevel="0" collapsed="false">
      <c r="A55" s="35" t="n">
        <v>6</v>
      </c>
      <c r="B55" s="29" t="str">
        <f aca="false">IF(Eingaben!$B$19="","",Cashflow!B55)</f>
        <v/>
      </c>
      <c r="C55" s="35" t="n">
        <v>1</v>
      </c>
      <c r="D55" s="36" t="str">
        <f aca="false">IF(Eingaben!$B$19="","",Eingaben!$AD$19)</f>
        <v/>
      </c>
      <c r="E55" s="36" t="str">
        <f aca="false">IF(Eingaben!$B$19="","",MIN(D55,MAX(0,IF(Eingaben!$S$19="Ja",D55*Eingaben!$T$19,Eingaben!$AD$19*Eingaben!$Q$19))))</f>
        <v/>
      </c>
      <c r="F55" s="36" t="str">
        <f aca="false">IF(Eingaben!$B$19="","",MIN(MAX(0,IF(AND(Eingaben!$U$19="Ja",1&lt;=Eingaben!$W$19),Eingaben!$AD$19*Eingaben!$V$19,0)),MAX(0,D55-E55)))</f>
        <v/>
      </c>
      <c r="G55" s="36" t="str">
        <f aca="false">IF(Eingaben!$B$19="","",E55+F55)</f>
        <v/>
      </c>
      <c r="H55" s="36" t="str">
        <f aca="false">IF(Eingaben!$B$19="","",D55-G55)</f>
        <v/>
      </c>
      <c r="I55" s="36" t="str">
        <f aca="false">IF(Eingaben!$B$19="","",Cashflow!E55-Cashflow!G55-G55)</f>
        <v/>
      </c>
      <c r="J55" s="36" t="str">
        <f aca="false">IF(Eingaben!$B$19="","",IF(Eingaben!$D$6="Ja",2*MAX(0,O55),MAX(0,O55)))</f>
        <v/>
      </c>
      <c r="K55" s="36" t="str">
        <f aca="false">IF(Eingaben!$B$19="","",IF(Eingaben!$D$6="Ja",2*MAX(0,Q55),MAX(0,Q55)))</f>
        <v/>
      </c>
      <c r="L55" s="42" t="str">
        <f aca="false">IF(Eingaben!$B$19="","",IF(Eingaben!$D$5&gt;0,J55-K55,-I55*Eingaben!$D$9))</f>
        <v/>
      </c>
      <c r="N55" s="8" t="str">
        <f aca="false">IF(Eingaben!$B$19="","",IF(Eingaben!$D$6="Ja",Eingaben!$F$6/2,Eingaben!$F$6))</f>
        <v/>
      </c>
      <c r="O55" s="8" t="str">
        <f aca="false">IF(Eingaben!$B$19="","",IF(N55&lt;=12348,0,IF(N55&lt;=17799,(914.51*((N55-12348)/10000)+1400)*((N55-12348)/10000),IF(N55&lt;=69878,(181.19*((N55-17799)/10000)+2397)*((N55-17799)/10000)+1025.38,IF(N55&lt;=277825,0.42*N55-10637.32,0.45*N55-18971.07)))))</f>
        <v/>
      </c>
      <c r="P55" s="8" t="str">
        <f aca="false">IF(Eingaben!$B$19="","",IF(Eingaben!$D$6="Ja",MAX(0,Eingaben!$F$6+I55)/2,MAX(0,Eingaben!$F$6+I55)))</f>
        <v/>
      </c>
      <c r="Q55" s="8" t="str">
        <f aca="false">IF(Eingaben!$B$19="","",IF(P55&lt;=12348,0,IF(P55&lt;=17799,(914.51*((P55-12348)/10000)+1400)*((P55-12348)/10000),IF(P55&lt;=69878,(181.19*((P55-17799)/10000)+2397)*((P55-17799)/10000)+1025.38,IF(P55&lt;=277825,0.42*P55-10637.32,0.45*P55-18971.07)))))</f>
        <v/>
      </c>
    </row>
    <row r="56" customFormat="false" ht="15" hidden="false" customHeight="false" outlineLevel="0" collapsed="false">
      <c r="A56" s="35" t="n">
        <v>6</v>
      </c>
      <c r="B56" s="29" t="str">
        <f aca="false">IF(Eingaben!$B$19="","",Cashflow!B56)</f>
        <v/>
      </c>
      <c r="C56" s="35" t="n">
        <v>2</v>
      </c>
      <c r="D56" s="36" t="str">
        <f aca="false">IF(Eingaben!$B$19="","",H55)</f>
        <v/>
      </c>
      <c r="E56" s="36" t="str">
        <f aca="false">IF(Eingaben!$B$19="","",MIN(D56,MAX(0,IF(Eingaben!$S$19="Ja",D56*Eingaben!$T$19,Eingaben!$AD$19*Eingaben!$Q$19))))</f>
        <v/>
      </c>
      <c r="F56" s="36" t="str">
        <f aca="false">IF(Eingaben!$B$19="","",MIN(MAX(0,IF(AND(Eingaben!$U$19="Ja",2&lt;=Eingaben!$W$19),Eingaben!$AD$19*Eingaben!$V$19,0)),MAX(0,D56-E56)))</f>
        <v/>
      </c>
      <c r="G56" s="36" t="str">
        <f aca="false">IF(Eingaben!$B$19="","",E56+F56)</f>
        <v/>
      </c>
      <c r="H56" s="36" t="str">
        <f aca="false">IF(Eingaben!$B$19="","",D56-G56)</f>
        <v/>
      </c>
      <c r="I56" s="36" t="str">
        <f aca="false">IF(Eingaben!$B$19="","",Cashflow!E56-Cashflow!G56-G56)</f>
        <v/>
      </c>
      <c r="J56" s="36" t="str">
        <f aca="false">IF(Eingaben!$B$19="","",IF(Eingaben!$D$6="Ja",2*MAX(0,O56),MAX(0,O56)))</f>
        <v/>
      </c>
      <c r="K56" s="36" t="str">
        <f aca="false">IF(Eingaben!$B$19="","",IF(Eingaben!$D$6="Ja",2*MAX(0,Q56),MAX(0,Q56)))</f>
        <v/>
      </c>
      <c r="L56" s="42" t="str">
        <f aca="false">IF(Eingaben!$B$19="","",IF(Eingaben!$D$5&gt;0,J56-K56,-I56*Eingaben!$D$9))</f>
        <v/>
      </c>
      <c r="N56" s="8" t="str">
        <f aca="false">IF(Eingaben!$B$19="","",IF(Eingaben!$D$6="Ja",Eingaben!$F$6/2,Eingaben!$F$6))</f>
        <v/>
      </c>
      <c r="O56" s="8" t="str">
        <f aca="false">IF(Eingaben!$B$19="","",IF(N56&lt;=12348,0,IF(N56&lt;=17799,(914.51*((N56-12348)/10000)+1400)*((N56-12348)/10000),IF(N56&lt;=69878,(181.19*((N56-17799)/10000)+2397)*((N56-17799)/10000)+1025.38,IF(N56&lt;=277825,0.42*N56-10637.32,0.45*N56-18971.07)))))</f>
        <v/>
      </c>
      <c r="P56" s="8" t="str">
        <f aca="false">IF(Eingaben!$B$19="","",IF(Eingaben!$D$6="Ja",MAX(0,Eingaben!$F$6+I56)/2,MAX(0,Eingaben!$F$6+I56)))</f>
        <v/>
      </c>
      <c r="Q56" s="8" t="str">
        <f aca="false">IF(Eingaben!$B$19="","",IF(P56&lt;=12348,0,IF(P56&lt;=17799,(914.51*((P56-12348)/10000)+1400)*((P56-12348)/10000),IF(P56&lt;=69878,(181.19*((P56-17799)/10000)+2397)*((P56-17799)/10000)+1025.38,IF(P56&lt;=277825,0.42*P56-10637.32,0.45*P56-18971.07)))))</f>
        <v/>
      </c>
    </row>
    <row r="57" customFormat="false" ht="15" hidden="false" customHeight="false" outlineLevel="0" collapsed="false">
      <c r="A57" s="35" t="n">
        <v>6</v>
      </c>
      <c r="B57" s="29" t="str">
        <f aca="false">IF(Eingaben!$B$19="","",Cashflow!B57)</f>
        <v/>
      </c>
      <c r="C57" s="35" t="n">
        <v>3</v>
      </c>
      <c r="D57" s="36" t="str">
        <f aca="false">IF(Eingaben!$B$19="","",H56)</f>
        <v/>
      </c>
      <c r="E57" s="36" t="str">
        <f aca="false">IF(Eingaben!$B$19="","",MIN(D57,MAX(0,IF(Eingaben!$S$19="Ja",D57*Eingaben!$T$19,Eingaben!$AD$19*Eingaben!$Q$19))))</f>
        <v/>
      </c>
      <c r="F57" s="36" t="str">
        <f aca="false">IF(Eingaben!$B$19="","",MIN(MAX(0,IF(AND(Eingaben!$U$19="Ja",3&lt;=Eingaben!$W$19),Eingaben!$AD$19*Eingaben!$V$19,0)),MAX(0,D57-E57)))</f>
        <v/>
      </c>
      <c r="G57" s="36" t="str">
        <f aca="false">IF(Eingaben!$B$19="","",E57+F57)</f>
        <v/>
      </c>
      <c r="H57" s="36" t="str">
        <f aca="false">IF(Eingaben!$B$19="","",D57-G57)</f>
        <v/>
      </c>
      <c r="I57" s="36" t="str">
        <f aca="false">IF(Eingaben!$B$19="","",Cashflow!E57-Cashflow!G57-G57)</f>
        <v/>
      </c>
      <c r="J57" s="36" t="str">
        <f aca="false">IF(Eingaben!$B$19="","",IF(Eingaben!$D$6="Ja",2*MAX(0,O57),MAX(0,O57)))</f>
        <v/>
      </c>
      <c r="K57" s="36" t="str">
        <f aca="false">IF(Eingaben!$B$19="","",IF(Eingaben!$D$6="Ja",2*MAX(0,Q57),MAX(0,Q57)))</f>
        <v/>
      </c>
      <c r="L57" s="42" t="str">
        <f aca="false">IF(Eingaben!$B$19="","",IF(Eingaben!$D$5&gt;0,J57-K57,-I57*Eingaben!$D$9))</f>
        <v/>
      </c>
      <c r="N57" s="8" t="str">
        <f aca="false">IF(Eingaben!$B$19="","",IF(Eingaben!$D$6="Ja",Eingaben!$F$6/2,Eingaben!$F$6))</f>
        <v/>
      </c>
      <c r="O57" s="8" t="str">
        <f aca="false">IF(Eingaben!$B$19="","",IF(N57&lt;=12348,0,IF(N57&lt;=17799,(914.51*((N57-12348)/10000)+1400)*((N57-12348)/10000),IF(N57&lt;=69878,(181.19*((N57-17799)/10000)+2397)*((N57-17799)/10000)+1025.38,IF(N57&lt;=277825,0.42*N57-10637.32,0.45*N57-18971.07)))))</f>
        <v/>
      </c>
      <c r="P57" s="8" t="str">
        <f aca="false">IF(Eingaben!$B$19="","",IF(Eingaben!$D$6="Ja",MAX(0,Eingaben!$F$6+I57)/2,MAX(0,Eingaben!$F$6+I57)))</f>
        <v/>
      </c>
      <c r="Q57" s="8" t="str">
        <f aca="false">IF(Eingaben!$B$19="","",IF(P57&lt;=12348,0,IF(P57&lt;=17799,(914.51*((P57-12348)/10000)+1400)*((P57-12348)/10000),IF(P57&lt;=69878,(181.19*((P57-17799)/10000)+2397)*((P57-17799)/10000)+1025.38,IF(P57&lt;=277825,0.42*P57-10637.32,0.45*P57-18971.07)))))</f>
        <v/>
      </c>
    </row>
    <row r="58" customFormat="false" ht="15" hidden="false" customHeight="false" outlineLevel="0" collapsed="false">
      <c r="A58" s="35" t="n">
        <v>6</v>
      </c>
      <c r="B58" s="29" t="str">
        <f aca="false">IF(Eingaben!$B$19="","",Cashflow!B58)</f>
        <v/>
      </c>
      <c r="C58" s="35" t="n">
        <v>4</v>
      </c>
      <c r="D58" s="36" t="str">
        <f aca="false">IF(Eingaben!$B$19="","",H57)</f>
        <v/>
      </c>
      <c r="E58" s="36" t="str">
        <f aca="false">IF(Eingaben!$B$19="","",MIN(D58,MAX(0,IF(Eingaben!$S$19="Ja",D58*Eingaben!$T$19,Eingaben!$AD$19*Eingaben!$Q$19))))</f>
        <v/>
      </c>
      <c r="F58" s="36" t="str">
        <f aca="false">IF(Eingaben!$B$19="","",MIN(MAX(0,IF(AND(Eingaben!$U$19="Ja",4&lt;=Eingaben!$W$19),Eingaben!$AD$19*Eingaben!$V$19,0)),MAX(0,D58-E58)))</f>
        <v/>
      </c>
      <c r="G58" s="36" t="str">
        <f aca="false">IF(Eingaben!$B$19="","",E58+F58)</f>
        <v/>
      </c>
      <c r="H58" s="36" t="str">
        <f aca="false">IF(Eingaben!$B$19="","",D58-G58)</f>
        <v/>
      </c>
      <c r="I58" s="36" t="str">
        <f aca="false">IF(Eingaben!$B$19="","",Cashflow!E58-Cashflow!G58-G58)</f>
        <v/>
      </c>
      <c r="J58" s="36" t="str">
        <f aca="false">IF(Eingaben!$B$19="","",IF(Eingaben!$D$6="Ja",2*MAX(0,O58),MAX(0,O58)))</f>
        <v/>
      </c>
      <c r="K58" s="36" t="str">
        <f aca="false">IF(Eingaben!$B$19="","",IF(Eingaben!$D$6="Ja",2*MAX(0,Q58),MAX(0,Q58)))</f>
        <v/>
      </c>
      <c r="L58" s="42" t="str">
        <f aca="false">IF(Eingaben!$B$19="","",IF(Eingaben!$D$5&gt;0,J58-K58,-I58*Eingaben!$D$9))</f>
        <v/>
      </c>
      <c r="N58" s="8" t="str">
        <f aca="false">IF(Eingaben!$B$19="","",IF(Eingaben!$D$6="Ja",Eingaben!$F$6/2,Eingaben!$F$6))</f>
        <v/>
      </c>
      <c r="O58" s="8" t="str">
        <f aca="false">IF(Eingaben!$B$19="","",IF(N58&lt;=12348,0,IF(N58&lt;=17799,(914.51*((N58-12348)/10000)+1400)*((N58-12348)/10000),IF(N58&lt;=69878,(181.19*((N58-17799)/10000)+2397)*((N58-17799)/10000)+1025.38,IF(N58&lt;=277825,0.42*N58-10637.32,0.45*N58-18971.07)))))</f>
        <v/>
      </c>
      <c r="P58" s="8" t="str">
        <f aca="false">IF(Eingaben!$B$19="","",IF(Eingaben!$D$6="Ja",MAX(0,Eingaben!$F$6+I58)/2,MAX(0,Eingaben!$F$6+I58)))</f>
        <v/>
      </c>
      <c r="Q58" s="8" t="str">
        <f aca="false">IF(Eingaben!$B$19="","",IF(P58&lt;=12348,0,IF(P58&lt;=17799,(914.51*((P58-12348)/10000)+1400)*((P58-12348)/10000),IF(P58&lt;=69878,(181.19*((P58-17799)/10000)+2397)*((P58-17799)/10000)+1025.38,IF(P58&lt;=277825,0.42*P58-10637.32,0.45*P58-18971.07)))))</f>
        <v/>
      </c>
    </row>
    <row r="59" customFormat="false" ht="15" hidden="false" customHeight="false" outlineLevel="0" collapsed="false">
      <c r="A59" s="35" t="n">
        <v>6</v>
      </c>
      <c r="B59" s="29" t="str">
        <f aca="false">IF(Eingaben!$B$19="","",Cashflow!B59)</f>
        <v/>
      </c>
      <c r="C59" s="35" t="n">
        <v>5</v>
      </c>
      <c r="D59" s="36" t="str">
        <f aca="false">IF(Eingaben!$B$19="","",H58)</f>
        <v/>
      </c>
      <c r="E59" s="36" t="str">
        <f aca="false">IF(Eingaben!$B$19="","",MIN(D59,MAX(0,IF(Eingaben!$S$19="Ja",D59*Eingaben!$T$19,Eingaben!$AD$19*Eingaben!$Q$19))))</f>
        <v/>
      </c>
      <c r="F59" s="36" t="str">
        <f aca="false">IF(Eingaben!$B$19="","",MIN(MAX(0,IF(AND(Eingaben!$U$19="Ja",5&lt;=Eingaben!$W$19),Eingaben!$AD$19*Eingaben!$V$19,0)),MAX(0,D59-E59)))</f>
        <v/>
      </c>
      <c r="G59" s="36" t="str">
        <f aca="false">IF(Eingaben!$B$19="","",E59+F59)</f>
        <v/>
      </c>
      <c r="H59" s="36" t="str">
        <f aca="false">IF(Eingaben!$B$19="","",D59-G59)</f>
        <v/>
      </c>
      <c r="I59" s="36" t="str">
        <f aca="false">IF(Eingaben!$B$19="","",Cashflow!E59-Cashflow!G59-G59)</f>
        <v/>
      </c>
      <c r="J59" s="36" t="str">
        <f aca="false">IF(Eingaben!$B$19="","",IF(Eingaben!$D$6="Ja",2*MAX(0,O59),MAX(0,O59)))</f>
        <v/>
      </c>
      <c r="K59" s="36" t="str">
        <f aca="false">IF(Eingaben!$B$19="","",IF(Eingaben!$D$6="Ja",2*MAX(0,Q59),MAX(0,Q59)))</f>
        <v/>
      </c>
      <c r="L59" s="42" t="str">
        <f aca="false">IF(Eingaben!$B$19="","",IF(Eingaben!$D$5&gt;0,J59-K59,-I59*Eingaben!$D$9))</f>
        <v/>
      </c>
      <c r="N59" s="8" t="str">
        <f aca="false">IF(Eingaben!$B$19="","",IF(Eingaben!$D$6="Ja",Eingaben!$F$6/2,Eingaben!$F$6))</f>
        <v/>
      </c>
      <c r="O59" s="8" t="str">
        <f aca="false">IF(Eingaben!$B$19="","",IF(N59&lt;=12348,0,IF(N59&lt;=17799,(914.51*((N59-12348)/10000)+1400)*((N59-12348)/10000),IF(N59&lt;=69878,(181.19*((N59-17799)/10000)+2397)*((N59-17799)/10000)+1025.38,IF(N59&lt;=277825,0.42*N59-10637.32,0.45*N59-18971.07)))))</f>
        <v/>
      </c>
      <c r="P59" s="8" t="str">
        <f aca="false">IF(Eingaben!$B$19="","",IF(Eingaben!$D$6="Ja",MAX(0,Eingaben!$F$6+I59)/2,MAX(0,Eingaben!$F$6+I59)))</f>
        <v/>
      </c>
      <c r="Q59" s="8" t="str">
        <f aca="false">IF(Eingaben!$B$19="","",IF(P59&lt;=12348,0,IF(P59&lt;=17799,(914.51*((P59-12348)/10000)+1400)*((P59-12348)/10000),IF(P59&lt;=69878,(181.19*((P59-17799)/10000)+2397)*((P59-17799)/10000)+1025.38,IF(P59&lt;=277825,0.42*P59-10637.32,0.45*P59-18971.07)))))</f>
        <v/>
      </c>
    </row>
    <row r="60" customFormat="false" ht="15" hidden="false" customHeight="false" outlineLevel="0" collapsed="false">
      <c r="A60" s="35" t="n">
        <v>6</v>
      </c>
      <c r="B60" s="29" t="str">
        <f aca="false">IF(Eingaben!$B$19="","",Cashflow!B60)</f>
        <v/>
      </c>
      <c r="C60" s="35" t="n">
        <v>6</v>
      </c>
      <c r="D60" s="36" t="str">
        <f aca="false">IF(Eingaben!$B$19="","",H59)</f>
        <v/>
      </c>
      <c r="E60" s="36" t="str">
        <f aca="false">IF(Eingaben!$B$19="","",MIN(D60,MAX(0,IF(Eingaben!$S$19="Ja",D60*Eingaben!$T$19,Eingaben!$AD$19*Eingaben!$Q$19))))</f>
        <v/>
      </c>
      <c r="F60" s="36" t="str">
        <f aca="false">IF(Eingaben!$B$19="","",MIN(MAX(0,IF(AND(Eingaben!$U$19="Ja",6&lt;=Eingaben!$W$19),Eingaben!$AD$19*Eingaben!$V$19,0)),MAX(0,D60-E60)))</f>
        <v/>
      </c>
      <c r="G60" s="36" t="str">
        <f aca="false">IF(Eingaben!$B$19="","",E60+F60)</f>
        <v/>
      </c>
      <c r="H60" s="36" t="str">
        <f aca="false">IF(Eingaben!$B$19="","",D60-G60)</f>
        <v/>
      </c>
      <c r="I60" s="36" t="str">
        <f aca="false">IF(Eingaben!$B$19="","",Cashflow!E60-Cashflow!G60-G60)</f>
        <v/>
      </c>
      <c r="J60" s="36" t="str">
        <f aca="false">IF(Eingaben!$B$19="","",IF(Eingaben!$D$6="Ja",2*MAX(0,O60),MAX(0,O60)))</f>
        <v/>
      </c>
      <c r="K60" s="36" t="str">
        <f aca="false">IF(Eingaben!$B$19="","",IF(Eingaben!$D$6="Ja",2*MAX(0,Q60),MAX(0,Q60)))</f>
        <v/>
      </c>
      <c r="L60" s="42" t="str">
        <f aca="false">IF(Eingaben!$B$19="","",IF(Eingaben!$D$5&gt;0,J60-K60,-I60*Eingaben!$D$9))</f>
        <v/>
      </c>
      <c r="N60" s="8" t="str">
        <f aca="false">IF(Eingaben!$B$19="","",IF(Eingaben!$D$6="Ja",Eingaben!$F$6/2,Eingaben!$F$6))</f>
        <v/>
      </c>
      <c r="O60" s="8" t="str">
        <f aca="false">IF(Eingaben!$B$19="","",IF(N60&lt;=12348,0,IF(N60&lt;=17799,(914.51*((N60-12348)/10000)+1400)*((N60-12348)/10000),IF(N60&lt;=69878,(181.19*((N60-17799)/10000)+2397)*((N60-17799)/10000)+1025.38,IF(N60&lt;=277825,0.42*N60-10637.32,0.45*N60-18971.07)))))</f>
        <v/>
      </c>
      <c r="P60" s="8" t="str">
        <f aca="false">IF(Eingaben!$B$19="","",IF(Eingaben!$D$6="Ja",MAX(0,Eingaben!$F$6+I60)/2,MAX(0,Eingaben!$F$6+I60)))</f>
        <v/>
      </c>
      <c r="Q60" s="8" t="str">
        <f aca="false">IF(Eingaben!$B$19="","",IF(P60&lt;=12348,0,IF(P60&lt;=17799,(914.51*((P60-12348)/10000)+1400)*((P60-12348)/10000),IF(P60&lt;=69878,(181.19*((P60-17799)/10000)+2397)*((P60-17799)/10000)+1025.38,IF(P60&lt;=277825,0.42*P60-10637.32,0.45*P60-18971.07)))))</f>
        <v/>
      </c>
    </row>
    <row r="61" customFormat="false" ht="15" hidden="false" customHeight="false" outlineLevel="0" collapsed="false">
      <c r="A61" s="35" t="n">
        <v>6</v>
      </c>
      <c r="B61" s="29" t="str">
        <f aca="false">IF(Eingaben!$B$19="","",Cashflow!B61)</f>
        <v/>
      </c>
      <c r="C61" s="35" t="n">
        <v>7</v>
      </c>
      <c r="D61" s="36" t="str">
        <f aca="false">IF(Eingaben!$B$19="","",H60)</f>
        <v/>
      </c>
      <c r="E61" s="36" t="str">
        <f aca="false">IF(Eingaben!$B$19="","",MIN(D61,MAX(0,IF(Eingaben!$S$19="Ja",D61*Eingaben!$T$19,Eingaben!$AD$19*Eingaben!$Q$19))))</f>
        <v/>
      </c>
      <c r="F61" s="36" t="str">
        <f aca="false">IF(Eingaben!$B$19="","",MIN(MAX(0,IF(AND(Eingaben!$U$19="Ja",7&lt;=Eingaben!$W$19),Eingaben!$AD$19*Eingaben!$V$19,0)),MAX(0,D61-E61)))</f>
        <v/>
      </c>
      <c r="G61" s="36" t="str">
        <f aca="false">IF(Eingaben!$B$19="","",E61+F61)</f>
        <v/>
      </c>
      <c r="H61" s="36" t="str">
        <f aca="false">IF(Eingaben!$B$19="","",D61-G61)</f>
        <v/>
      </c>
      <c r="I61" s="36" t="str">
        <f aca="false">IF(Eingaben!$B$19="","",Cashflow!E61-Cashflow!G61-G61)</f>
        <v/>
      </c>
      <c r="J61" s="36" t="str">
        <f aca="false">IF(Eingaben!$B$19="","",IF(Eingaben!$D$6="Ja",2*MAX(0,O61),MAX(0,O61)))</f>
        <v/>
      </c>
      <c r="K61" s="36" t="str">
        <f aca="false">IF(Eingaben!$B$19="","",IF(Eingaben!$D$6="Ja",2*MAX(0,Q61),MAX(0,Q61)))</f>
        <v/>
      </c>
      <c r="L61" s="42" t="str">
        <f aca="false">IF(Eingaben!$B$19="","",IF(Eingaben!$D$5&gt;0,J61-K61,-I61*Eingaben!$D$9))</f>
        <v/>
      </c>
      <c r="N61" s="8" t="str">
        <f aca="false">IF(Eingaben!$B$19="","",IF(Eingaben!$D$6="Ja",Eingaben!$F$6/2,Eingaben!$F$6))</f>
        <v/>
      </c>
      <c r="O61" s="8" t="str">
        <f aca="false">IF(Eingaben!$B$19="","",IF(N61&lt;=12348,0,IF(N61&lt;=17799,(914.51*((N61-12348)/10000)+1400)*((N61-12348)/10000),IF(N61&lt;=69878,(181.19*((N61-17799)/10000)+2397)*((N61-17799)/10000)+1025.38,IF(N61&lt;=277825,0.42*N61-10637.32,0.45*N61-18971.07)))))</f>
        <v/>
      </c>
      <c r="P61" s="8" t="str">
        <f aca="false">IF(Eingaben!$B$19="","",IF(Eingaben!$D$6="Ja",MAX(0,Eingaben!$F$6+I61)/2,MAX(0,Eingaben!$F$6+I61)))</f>
        <v/>
      </c>
      <c r="Q61" s="8" t="str">
        <f aca="false">IF(Eingaben!$B$19="","",IF(P61&lt;=12348,0,IF(P61&lt;=17799,(914.51*((P61-12348)/10000)+1400)*((P61-12348)/10000),IF(P61&lt;=69878,(181.19*((P61-17799)/10000)+2397)*((P61-17799)/10000)+1025.38,IF(P61&lt;=277825,0.42*P61-10637.32,0.45*P61-18971.07)))))</f>
        <v/>
      </c>
    </row>
    <row r="62" customFormat="false" ht="15" hidden="false" customHeight="false" outlineLevel="0" collapsed="false">
      <c r="A62" s="35" t="n">
        <v>6</v>
      </c>
      <c r="B62" s="29" t="str">
        <f aca="false">IF(Eingaben!$B$19="","",Cashflow!B62)</f>
        <v/>
      </c>
      <c r="C62" s="35" t="n">
        <v>8</v>
      </c>
      <c r="D62" s="36" t="str">
        <f aca="false">IF(Eingaben!$B$19="","",H61)</f>
        <v/>
      </c>
      <c r="E62" s="36" t="str">
        <f aca="false">IF(Eingaben!$B$19="","",MIN(D62,MAX(0,IF(Eingaben!$S$19="Ja",D62*Eingaben!$T$19,Eingaben!$AD$19*Eingaben!$Q$19))))</f>
        <v/>
      </c>
      <c r="F62" s="36" t="str">
        <f aca="false">IF(Eingaben!$B$19="","",MIN(MAX(0,IF(AND(Eingaben!$U$19="Ja",8&lt;=Eingaben!$W$19),Eingaben!$AD$19*Eingaben!$V$19,0)),MAX(0,D62-E62)))</f>
        <v/>
      </c>
      <c r="G62" s="36" t="str">
        <f aca="false">IF(Eingaben!$B$19="","",E62+F62)</f>
        <v/>
      </c>
      <c r="H62" s="36" t="str">
        <f aca="false">IF(Eingaben!$B$19="","",D62-G62)</f>
        <v/>
      </c>
      <c r="I62" s="36" t="str">
        <f aca="false">IF(Eingaben!$B$19="","",Cashflow!E62-Cashflow!G62-G62)</f>
        <v/>
      </c>
      <c r="J62" s="36" t="str">
        <f aca="false">IF(Eingaben!$B$19="","",IF(Eingaben!$D$6="Ja",2*MAX(0,O62),MAX(0,O62)))</f>
        <v/>
      </c>
      <c r="K62" s="36" t="str">
        <f aca="false">IF(Eingaben!$B$19="","",IF(Eingaben!$D$6="Ja",2*MAX(0,Q62),MAX(0,Q62)))</f>
        <v/>
      </c>
      <c r="L62" s="42" t="str">
        <f aca="false">IF(Eingaben!$B$19="","",IF(Eingaben!$D$5&gt;0,J62-K62,-I62*Eingaben!$D$9))</f>
        <v/>
      </c>
      <c r="N62" s="8" t="str">
        <f aca="false">IF(Eingaben!$B$19="","",IF(Eingaben!$D$6="Ja",Eingaben!$F$6/2,Eingaben!$F$6))</f>
        <v/>
      </c>
      <c r="O62" s="8" t="str">
        <f aca="false">IF(Eingaben!$B$19="","",IF(N62&lt;=12348,0,IF(N62&lt;=17799,(914.51*((N62-12348)/10000)+1400)*((N62-12348)/10000),IF(N62&lt;=69878,(181.19*((N62-17799)/10000)+2397)*((N62-17799)/10000)+1025.38,IF(N62&lt;=277825,0.42*N62-10637.32,0.45*N62-18971.07)))))</f>
        <v/>
      </c>
      <c r="P62" s="8" t="str">
        <f aca="false">IF(Eingaben!$B$19="","",IF(Eingaben!$D$6="Ja",MAX(0,Eingaben!$F$6+I62)/2,MAX(0,Eingaben!$F$6+I62)))</f>
        <v/>
      </c>
      <c r="Q62" s="8" t="str">
        <f aca="false">IF(Eingaben!$B$19="","",IF(P62&lt;=12348,0,IF(P62&lt;=17799,(914.51*((P62-12348)/10000)+1400)*((P62-12348)/10000),IF(P62&lt;=69878,(181.19*((P62-17799)/10000)+2397)*((P62-17799)/10000)+1025.38,IF(P62&lt;=277825,0.42*P62-10637.32,0.45*P62-18971.07)))))</f>
        <v/>
      </c>
    </row>
    <row r="63" customFormat="false" ht="15" hidden="false" customHeight="false" outlineLevel="0" collapsed="false">
      <c r="A63" s="35" t="n">
        <v>6</v>
      </c>
      <c r="B63" s="29" t="str">
        <f aca="false">IF(Eingaben!$B$19="","",Cashflow!B63)</f>
        <v/>
      </c>
      <c r="C63" s="35" t="n">
        <v>9</v>
      </c>
      <c r="D63" s="36" t="str">
        <f aca="false">IF(Eingaben!$B$19="","",H62)</f>
        <v/>
      </c>
      <c r="E63" s="36" t="str">
        <f aca="false">IF(Eingaben!$B$19="","",MIN(D63,MAX(0,IF(Eingaben!$S$19="Ja",D63*Eingaben!$T$19,Eingaben!$AD$19*Eingaben!$Q$19))))</f>
        <v/>
      </c>
      <c r="F63" s="36" t="str">
        <f aca="false">IF(Eingaben!$B$19="","",MIN(MAX(0,IF(AND(Eingaben!$U$19="Ja",9&lt;=Eingaben!$W$19),Eingaben!$AD$19*Eingaben!$V$19,0)),MAX(0,D63-E63)))</f>
        <v/>
      </c>
      <c r="G63" s="36" t="str">
        <f aca="false">IF(Eingaben!$B$19="","",E63+F63)</f>
        <v/>
      </c>
      <c r="H63" s="36" t="str">
        <f aca="false">IF(Eingaben!$B$19="","",D63-G63)</f>
        <v/>
      </c>
      <c r="I63" s="36" t="str">
        <f aca="false">IF(Eingaben!$B$19="","",Cashflow!E63-Cashflow!G63-G63)</f>
        <v/>
      </c>
      <c r="J63" s="36" t="str">
        <f aca="false">IF(Eingaben!$B$19="","",IF(Eingaben!$D$6="Ja",2*MAX(0,O63),MAX(0,O63)))</f>
        <v/>
      </c>
      <c r="K63" s="36" t="str">
        <f aca="false">IF(Eingaben!$B$19="","",IF(Eingaben!$D$6="Ja",2*MAX(0,Q63),MAX(0,Q63)))</f>
        <v/>
      </c>
      <c r="L63" s="42" t="str">
        <f aca="false">IF(Eingaben!$B$19="","",IF(Eingaben!$D$5&gt;0,J63-K63,-I63*Eingaben!$D$9))</f>
        <v/>
      </c>
      <c r="N63" s="8" t="str">
        <f aca="false">IF(Eingaben!$B$19="","",IF(Eingaben!$D$6="Ja",Eingaben!$F$6/2,Eingaben!$F$6))</f>
        <v/>
      </c>
      <c r="O63" s="8" t="str">
        <f aca="false">IF(Eingaben!$B$19="","",IF(N63&lt;=12348,0,IF(N63&lt;=17799,(914.51*((N63-12348)/10000)+1400)*((N63-12348)/10000),IF(N63&lt;=69878,(181.19*((N63-17799)/10000)+2397)*((N63-17799)/10000)+1025.38,IF(N63&lt;=277825,0.42*N63-10637.32,0.45*N63-18971.07)))))</f>
        <v/>
      </c>
      <c r="P63" s="8" t="str">
        <f aca="false">IF(Eingaben!$B$19="","",IF(Eingaben!$D$6="Ja",MAX(0,Eingaben!$F$6+I63)/2,MAX(0,Eingaben!$F$6+I63)))</f>
        <v/>
      </c>
      <c r="Q63" s="8" t="str">
        <f aca="false">IF(Eingaben!$B$19="","",IF(P63&lt;=12348,0,IF(P63&lt;=17799,(914.51*((P63-12348)/10000)+1400)*((P63-12348)/10000),IF(P63&lt;=69878,(181.19*((P63-17799)/10000)+2397)*((P63-17799)/10000)+1025.38,IF(P63&lt;=277825,0.42*P63-10637.32,0.45*P63-18971.07)))))</f>
        <v/>
      </c>
    </row>
    <row r="64" customFormat="false" ht="15" hidden="false" customHeight="false" outlineLevel="0" collapsed="false">
      <c r="A64" s="35" t="n">
        <v>6</v>
      </c>
      <c r="B64" s="29" t="str">
        <f aca="false">IF(Eingaben!$B$19="","",Cashflow!B64)</f>
        <v/>
      </c>
      <c r="C64" s="35" t="n">
        <v>10</v>
      </c>
      <c r="D64" s="36" t="str">
        <f aca="false">IF(Eingaben!$B$19="","",H63)</f>
        <v/>
      </c>
      <c r="E64" s="36" t="str">
        <f aca="false">IF(Eingaben!$B$19="","",MIN(D64,MAX(0,IF(Eingaben!$S$19="Ja",D64*Eingaben!$T$19,Eingaben!$AD$19*Eingaben!$Q$19))))</f>
        <v/>
      </c>
      <c r="F64" s="36" t="str">
        <f aca="false">IF(Eingaben!$B$19="","",MIN(MAX(0,IF(AND(Eingaben!$U$19="Ja",10&lt;=Eingaben!$W$19),Eingaben!$AD$19*Eingaben!$V$19,0)),MAX(0,D64-E64)))</f>
        <v/>
      </c>
      <c r="G64" s="36" t="str">
        <f aca="false">IF(Eingaben!$B$19="","",E64+F64)</f>
        <v/>
      </c>
      <c r="H64" s="36" t="str">
        <f aca="false">IF(Eingaben!$B$19="","",D64-G64)</f>
        <v/>
      </c>
      <c r="I64" s="36" t="str">
        <f aca="false">IF(Eingaben!$B$19="","",Cashflow!E64-Cashflow!G64-G64)</f>
        <v/>
      </c>
      <c r="J64" s="36" t="str">
        <f aca="false">IF(Eingaben!$B$19="","",IF(Eingaben!$D$6="Ja",2*MAX(0,O64),MAX(0,O64)))</f>
        <v/>
      </c>
      <c r="K64" s="36" t="str">
        <f aca="false">IF(Eingaben!$B$19="","",IF(Eingaben!$D$6="Ja",2*MAX(0,Q64),MAX(0,Q64)))</f>
        <v/>
      </c>
      <c r="L64" s="42" t="str">
        <f aca="false">IF(Eingaben!$B$19="","",IF(Eingaben!$D$5&gt;0,J64-K64,-I64*Eingaben!$D$9))</f>
        <v/>
      </c>
      <c r="N64" s="8" t="str">
        <f aca="false">IF(Eingaben!$B$19="","",IF(Eingaben!$D$6="Ja",Eingaben!$F$6/2,Eingaben!$F$6))</f>
        <v/>
      </c>
      <c r="O64" s="8" t="str">
        <f aca="false">IF(Eingaben!$B$19="","",IF(N64&lt;=12348,0,IF(N64&lt;=17799,(914.51*((N64-12348)/10000)+1400)*((N64-12348)/10000),IF(N64&lt;=69878,(181.19*((N64-17799)/10000)+2397)*((N64-17799)/10000)+1025.38,IF(N64&lt;=277825,0.42*N64-10637.32,0.45*N64-18971.07)))))</f>
        <v/>
      </c>
      <c r="P64" s="8" t="str">
        <f aca="false">IF(Eingaben!$B$19="","",IF(Eingaben!$D$6="Ja",MAX(0,Eingaben!$F$6+I64)/2,MAX(0,Eingaben!$F$6+I64)))</f>
        <v/>
      </c>
      <c r="Q64" s="8" t="str">
        <f aca="false">IF(Eingaben!$B$19="","",IF(P64&lt;=12348,0,IF(P64&lt;=17799,(914.51*((P64-12348)/10000)+1400)*((P64-12348)/10000),IF(P64&lt;=69878,(181.19*((P64-17799)/10000)+2397)*((P64-17799)/10000)+1025.38,IF(P64&lt;=277825,0.42*P64-10637.32,0.45*P64-18971.07)))))</f>
        <v/>
      </c>
    </row>
    <row r="65" customFormat="false" ht="15" hidden="false" customHeight="false" outlineLevel="0" collapsed="false">
      <c r="A65" s="28" t="n">
        <v>7</v>
      </c>
      <c r="B65" s="29" t="str">
        <f aca="false">IF(Eingaben!$B$20="","",Cashflow!B65)</f>
        <v/>
      </c>
      <c r="C65" s="28" t="n">
        <v>1</v>
      </c>
      <c r="D65" s="31" t="str">
        <f aca="false">IF(Eingaben!$B$20="","",Eingaben!$AD$20)</f>
        <v/>
      </c>
      <c r="E65" s="31" t="str">
        <f aca="false">IF(Eingaben!$B$20="","",MIN(D65,MAX(0,IF(Eingaben!$S$20="Ja",D65*Eingaben!$T$20,Eingaben!$AD$20*Eingaben!$Q$20))))</f>
        <v/>
      </c>
      <c r="F65" s="31" t="str">
        <f aca="false">IF(Eingaben!$B$20="","",MIN(MAX(0,IF(AND(Eingaben!$U$20="Ja",1&lt;=Eingaben!$W$20),Eingaben!$AD$20*Eingaben!$V$20,0)),MAX(0,D65-E65)))</f>
        <v/>
      </c>
      <c r="G65" s="31" t="str">
        <f aca="false">IF(Eingaben!$B$20="","",E65+F65)</f>
        <v/>
      </c>
      <c r="H65" s="31" t="str">
        <f aca="false">IF(Eingaben!$B$20="","",D65-G65)</f>
        <v/>
      </c>
      <c r="I65" s="31" t="str">
        <f aca="false">IF(Eingaben!$B$20="","",Cashflow!E65-Cashflow!G65-G65)</f>
        <v/>
      </c>
      <c r="J65" s="31" t="str">
        <f aca="false">IF(Eingaben!$B$20="","",IF(Eingaben!$D$6="Ja",2*MAX(0,O65),MAX(0,O65)))</f>
        <v/>
      </c>
      <c r="K65" s="31" t="str">
        <f aca="false">IF(Eingaben!$B$20="","",IF(Eingaben!$D$6="Ja",2*MAX(0,Q65),MAX(0,Q65)))</f>
        <v/>
      </c>
      <c r="L65" s="40" t="str">
        <f aca="false">IF(Eingaben!$B$20="","",IF(Eingaben!$D$5&gt;0,J65-K65,-I65*Eingaben!$D$9))</f>
        <v/>
      </c>
      <c r="N65" s="8" t="str">
        <f aca="false">IF(Eingaben!$B$20="","",IF(Eingaben!$D$6="Ja",Eingaben!$F$6/2,Eingaben!$F$6))</f>
        <v/>
      </c>
      <c r="O65" s="8" t="str">
        <f aca="false">IF(Eingaben!$B$20="","",IF(N65&lt;=12348,0,IF(N65&lt;=17799,(914.51*((N65-12348)/10000)+1400)*((N65-12348)/10000),IF(N65&lt;=69878,(181.19*((N65-17799)/10000)+2397)*((N65-17799)/10000)+1025.38,IF(N65&lt;=277825,0.42*N65-10637.32,0.45*N65-18971.07)))))</f>
        <v/>
      </c>
      <c r="P65" s="8" t="str">
        <f aca="false">IF(Eingaben!$B$20="","",IF(Eingaben!$D$6="Ja",MAX(0,Eingaben!$F$6+I65)/2,MAX(0,Eingaben!$F$6+I65)))</f>
        <v/>
      </c>
      <c r="Q65" s="8" t="str">
        <f aca="false">IF(Eingaben!$B$20="","",IF(P65&lt;=12348,0,IF(P65&lt;=17799,(914.51*((P65-12348)/10000)+1400)*((P65-12348)/10000),IF(P65&lt;=69878,(181.19*((P65-17799)/10000)+2397)*((P65-17799)/10000)+1025.38,IF(P65&lt;=277825,0.42*P65-10637.32,0.45*P65-18971.07)))))</f>
        <v/>
      </c>
    </row>
    <row r="66" customFormat="false" ht="15" hidden="false" customHeight="false" outlineLevel="0" collapsed="false">
      <c r="A66" s="28" t="n">
        <v>7</v>
      </c>
      <c r="B66" s="29" t="str">
        <f aca="false">IF(Eingaben!$B$20="","",Cashflow!B66)</f>
        <v/>
      </c>
      <c r="C66" s="28" t="n">
        <v>2</v>
      </c>
      <c r="D66" s="31" t="str">
        <f aca="false">IF(Eingaben!$B$20="","",H65)</f>
        <v/>
      </c>
      <c r="E66" s="31" t="str">
        <f aca="false">IF(Eingaben!$B$20="","",MIN(D66,MAX(0,IF(Eingaben!$S$20="Ja",D66*Eingaben!$T$20,Eingaben!$AD$20*Eingaben!$Q$20))))</f>
        <v/>
      </c>
      <c r="F66" s="31" t="str">
        <f aca="false">IF(Eingaben!$B$20="","",MIN(MAX(0,IF(AND(Eingaben!$U$20="Ja",2&lt;=Eingaben!$W$20),Eingaben!$AD$20*Eingaben!$V$20,0)),MAX(0,D66-E66)))</f>
        <v/>
      </c>
      <c r="G66" s="31" t="str">
        <f aca="false">IF(Eingaben!$B$20="","",E66+F66)</f>
        <v/>
      </c>
      <c r="H66" s="31" t="str">
        <f aca="false">IF(Eingaben!$B$20="","",D66-G66)</f>
        <v/>
      </c>
      <c r="I66" s="31" t="str">
        <f aca="false">IF(Eingaben!$B$20="","",Cashflow!E66-Cashflow!G66-G66)</f>
        <v/>
      </c>
      <c r="J66" s="31" t="str">
        <f aca="false">IF(Eingaben!$B$20="","",IF(Eingaben!$D$6="Ja",2*MAX(0,O66),MAX(0,O66)))</f>
        <v/>
      </c>
      <c r="K66" s="31" t="str">
        <f aca="false">IF(Eingaben!$B$20="","",IF(Eingaben!$D$6="Ja",2*MAX(0,Q66),MAX(0,Q66)))</f>
        <v/>
      </c>
      <c r="L66" s="40" t="str">
        <f aca="false">IF(Eingaben!$B$20="","",IF(Eingaben!$D$5&gt;0,J66-K66,-I66*Eingaben!$D$9))</f>
        <v/>
      </c>
      <c r="N66" s="8" t="str">
        <f aca="false">IF(Eingaben!$B$20="","",IF(Eingaben!$D$6="Ja",Eingaben!$F$6/2,Eingaben!$F$6))</f>
        <v/>
      </c>
      <c r="O66" s="8" t="str">
        <f aca="false">IF(Eingaben!$B$20="","",IF(N66&lt;=12348,0,IF(N66&lt;=17799,(914.51*((N66-12348)/10000)+1400)*((N66-12348)/10000),IF(N66&lt;=69878,(181.19*((N66-17799)/10000)+2397)*((N66-17799)/10000)+1025.38,IF(N66&lt;=277825,0.42*N66-10637.32,0.45*N66-18971.07)))))</f>
        <v/>
      </c>
      <c r="P66" s="8" t="str">
        <f aca="false">IF(Eingaben!$B$20="","",IF(Eingaben!$D$6="Ja",MAX(0,Eingaben!$F$6+I66)/2,MAX(0,Eingaben!$F$6+I66)))</f>
        <v/>
      </c>
      <c r="Q66" s="8" t="str">
        <f aca="false">IF(Eingaben!$B$20="","",IF(P66&lt;=12348,0,IF(P66&lt;=17799,(914.51*((P66-12348)/10000)+1400)*((P66-12348)/10000),IF(P66&lt;=69878,(181.19*((P66-17799)/10000)+2397)*((P66-17799)/10000)+1025.38,IF(P66&lt;=277825,0.42*P66-10637.32,0.45*P66-18971.07)))))</f>
        <v/>
      </c>
    </row>
    <row r="67" customFormat="false" ht="15" hidden="false" customHeight="false" outlineLevel="0" collapsed="false">
      <c r="A67" s="28" t="n">
        <v>7</v>
      </c>
      <c r="B67" s="29" t="str">
        <f aca="false">IF(Eingaben!$B$20="","",Cashflow!B67)</f>
        <v/>
      </c>
      <c r="C67" s="28" t="n">
        <v>3</v>
      </c>
      <c r="D67" s="31" t="str">
        <f aca="false">IF(Eingaben!$B$20="","",H66)</f>
        <v/>
      </c>
      <c r="E67" s="31" t="str">
        <f aca="false">IF(Eingaben!$B$20="","",MIN(D67,MAX(0,IF(Eingaben!$S$20="Ja",D67*Eingaben!$T$20,Eingaben!$AD$20*Eingaben!$Q$20))))</f>
        <v/>
      </c>
      <c r="F67" s="31" t="str">
        <f aca="false">IF(Eingaben!$B$20="","",MIN(MAX(0,IF(AND(Eingaben!$U$20="Ja",3&lt;=Eingaben!$W$20),Eingaben!$AD$20*Eingaben!$V$20,0)),MAX(0,D67-E67)))</f>
        <v/>
      </c>
      <c r="G67" s="31" t="str">
        <f aca="false">IF(Eingaben!$B$20="","",E67+F67)</f>
        <v/>
      </c>
      <c r="H67" s="31" t="str">
        <f aca="false">IF(Eingaben!$B$20="","",D67-G67)</f>
        <v/>
      </c>
      <c r="I67" s="31" t="str">
        <f aca="false">IF(Eingaben!$B$20="","",Cashflow!E67-Cashflow!G67-G67)</f>
        <v/>
      </c>
      <c r="J67" s="31" t="str">
        <f aca="false">IF(Eingaben!$B$20="","",IF(Eingaben!$D$6="Ja",2*MAX(0,O67),MAX(0,O67)))</f>
        <v/>
      </c>
      <c r="K67" s="31" t="str">
        <f aca="false">IF(Eingaben!$B$20="","",IF(Eingaben!$D$6="Ja",2*MAX(0,Q67),MAX(0,Q67)))</f>
        <v/>
      </c>
      <c r="L67" s="40" t="str">
        <f aca="false">IF(Eingaben!$B$20="","",IF(Eingaben!$D$5&gt;0,J67-K67,-I67*Eingaben!$D$9))</f>
        <v/>
      </c>
      <c r="N67" s="8" t="str">
        <f aca="false">IF(Eingaben!$B$20="","",IF(Eingaben!$D$6="Ja",Eingaben!$F$6/2,Eingaben!$F$6))</f>
        <v/>
      </c>
      <c r="O67" s="8" t="str">
        <f aca="false">IF(Eingaben!$B$20="","",IF(N67&lt;=12348,0,IF(N67&lt;=17799,(914.51*((N67-12348)/10000)+1400)*((N67-12348)/10000),IF(N67&lt;=69878,(181.19*((N67-17799)/10000)+2397)*((N67-17799)/10000)+1025.38,IF(N67&lt;=277825,0.42*N67-10637.32,0.45*N67-18971.07)))))</f>
        <v/>
      </c>
      <c r="P67" s="8" t="str">
        <f aca="false">IF(Eingaben!$B$20="","",IF(Eingaben!$D$6="Ja",MAX(0,Eingaben!$F$6+I67)/2,MAX(0,Eingaben!$F$6+I67)))</f>
        <v/>
      </c>
      <c r="Q67" s="8" t="str">
        <f aca="false">IF(Eingaben!$B$20="","",IF(P67&lt;=12348,0,IF(P67&lt;=17799,(914.51*((P67-12348)/10000)+1400)*((P67-12348)/10000),IF(P67&lt;=69878,(181.19*((P67-17799)/10000)+2397)*((P67-17799)/10000)+1025.38,IF(P67&lt;=277825,0.42*P67-10637.32,0.45*P67-18971.07)))))</f>
        <v/>
      </c>
    </row>
    <row r="68" customFormat="false" ht="15" hidden="false" customHeight="false" outlineLevel="0" collapsed="false">
      <c r="A68" s="28" t="n">
        <v>7</v>
      </c>
      <c r="B68" s="29" t="str">
        <f aca="false">IF(Eingaben!$B$20="","",Cashflow!B68)</f>
        <v/>
      </c>
      <c r="C68" s="28" t="n">
        <v>4</v>
      </c>
      <c r="D68" s="31" t="str">
        <f aca="false">IF(Eingaben!$B$20="","",H67)</f>
        <v/>
      </c>
      <c r="E68" s="31" t="str">
        <f aca="false">IF(Eingaben!$B$20="","",MIN(D68,MAX(0,IF(Eingaben!$S$20="Ja",D68*Eingaben!$T$20,Eingaben!$AD$20*Eingaben!$Q$20))))</f>
        <v/>
      </c>
      <c r="F68" s="31" t="str">
        <f aca="false">IF(Eingaben!$B$20="","",MIN(MAX(0,IF(AND(Eingaben!$U$20="Ja",4&lt;=Eingaben!$W$20),Eingaben!$AD$20*Eingaben!$V$20,0)),MAX(0,D68-E68)))</f>
        <v/>
      </c>
      <c r="G68" s="31" t="str">
        <f aca="false">IF(Eingaben!$B$20="","",E68+F68)</f>
        <v/>
      </c>
      <c r="H68" s="31" t="str">
        <f aca="false">IF(Eingaben!$B$20="","",D68-G68)</f>
        <v/>
      </c>
      <c r="I68" s="31" t="str">
        <f aca="false">IF(Eingaben!$B$20="","",Cashflow!E68-Cashflow!G68-G68)</f>
        <v/>
      </c>
      <c r="J68" s="31" t="str">
        <f aca="false">IF(Eingaben!$B$20="","",IF(Eingaben!$D$6="Ja",2*MAX(0,O68),MAX(0,O68)))</f>
        <v/>
      </c>
      <c r="K68" s="31" t="str">
        <f aca="false">IF(Eingaben!$B$20="","",IF(Eingaben!$D$6="Ja",2*MAX(0,Q68),MAX(0,Q68)))</f>
        <v/>
      </c>
      <c r="L68" s="40" t="str">
        <f aca="false">IF(Eingaben!$B$20="","",IF(Eingaben!$D$5&gt;0,J68-K68,-I68*Eingaben!$D$9))</f>
        <v/>
      </c>
      <c r="N68" s="8" t="str">
        <f aca="false">IF(Eingaben!$B$20="","",IF(Eingaben!$D$6="Ja",Eingaben!$F$6/2,Eingaben!$F$6))</f>
        <v/>
      </c>
      <c r="O68" s="8" t="str">
        <f aca="false">IF(Eingaben!$B$20="","",IF(N68&lt;=12348,0,IF(N68&lt;=17799,(914.51*((N68-12348)/10000)+1400)*((N68-12348)/10000),IF(N68&lt;=69878,(181.19*((N68-17799)/10000)+2397)*((N68-17799)/10000)+1025.38,IF(N68&lt;=277825,0.42*N68-10637.32,0.45*N68-18971.07)))))</f>
        <v/>
      </c>
      <c r="P68" s="8" t="str">
        <f aca="false">IF(Eingaben!$B$20="","",IF(Eingaben!$D$6="Ja",MAX(0,Eingaben!$F$6+I68)/2,MAX(0,Eingaben!$F$6+I68)))</f>
        <v/>
      </c>
      <c r="Q68" s="8" t="str">
        <f aca="false">IF(Eingaben!$B$20="","",IF(P68&lt;=12348,0,IF(P68&lt;=17799,(914.51*((P68-12348)/10000)+1400)*((P68-12348)/10000),IF(P68&lt;=69878,(181.19*((P68-17799)/10000)+2397)*((P68-17799)/10000)+1025.38,IF(P68&lt;=277825,0.42*P68-10637.32,0.45*P68-18971.07)))))</f>
        <v/>
      </c>
    </row>
    <row r="69" customFormat="false" ht="15" hidden="false" customHeight="false" outlineLevel="0" collapsed="false">
      <c r="A69" s="28" t="n">
        <v>7</v>
      </c>
      <c r="B69" s="29" t="str">
        <f aca="false">IF(Eingaben!$B$20="","",Cashflow!B69)</f>
        <v/>
      </c>
      <c r="C69" s="28" t="n">
        <v>5</v>
      </c>
      <c r="D69" s="31" t="str">
        <f aca="false">IF(Eingaben!$B$20="","",H68)</f>
        <v/>
      </c>
      <c r="E69" s="31" t="str">
        <f aca="false">IF(Eingaben!$B$20="","",MIN(D69,MAX(0,IF(Eingaben!$S$20="Ja",D69*Eingaben!$T$20,Eingaben!$AD$20*Eingaben!$Q$20))))</f>
        <v/>
      </c>
      <c r="F69" s="31" t="str">
        <f aca="false">IF(Eingaben!$B$20="","",MIN(MAX(0,IF(AND(Eingaben!$U$20="Ja",5&lt;=Eingaben!$W$20),Eingaben!$AD$20*Eingaben!$V$20,0)),MAX(0,D69-E69)))</f>
        <v/>
      </c>
      <c r="G69" s="31" t="str">
        <f aca="false">IF(Eingaben!$B$20="","",E69+F69)</f>
        <v/>
      </c>
      <c r="H69" s="31" t="str">
        <f aca="false">IF(Eingaben!$B$20="","",D69-G69)</f>
        <v/>
      </c>
      <c r="I69" s="31" t="str">
        <f aca="false">IF(Eingaben!$B$20="","",Cashflow!E69-Cashflow!G69-G69)</f>
        <v/>
      </c>
      <c r="J69" s="31" t="str">
        <f aca="false">IF(Eingaben!$B$20="","",IF(Eingaben!$D$6="Ja",2*MAX(0,O69),MAX(0,O69)))</f>
        <v/>
      </c>
      <c r="K69" s="31" t="str">
        <f aca="false">IF(Eingaben!$B$20="","",IF(Eingaben!$D$6="Ja",2*MAX(0,Q69),MAX(0,Q69)))</f>
        <v/>
      </c>
      <c r="L69" s="40" t="str">
        <f aca="false">IF(Eingaben!$B$20="","",IF(Eingaben!$D$5&gt;0,J69-K69,-I69*Eingaben!$D$9))</f>
        <v/>
      </c>
      <c r="N69" s="8" t="str">
        <f aca="false">IF(Eingaben!$B$20="","",IF(Eingaben!$D$6="Ja",Eingaben!$F$6/2,Eingaben!$F$6))</f>
        <v/>
      </c>
      <c r="O69" s="8" t="str">
        <f aca="false">IF(Eingaben!$B$20="","",IF(N69&lt;=12348,0,IF(N69&lt;=17799,(914.51*((N69-12348)/10000)+1400)*((N69-12348)/10000),IF(N69&lt;=69878,(181.19*((N69-17799)/10000)+2397)*((N69-17799)/10000)+1025.38,IF(N69&lt;=277825,0.42*N69-10637.32,0.45*N69-18971.07)))))</f>
        <v/>
      </c>
      <c r="P69" s="8" t="str">
        <f aca="false">IF(Eingaben!$B$20="","",IF(Eingaben!$D$6="Ja",MAX(0,Eingaben!$F$6+I69)/2,MAX(0,Eingaben!$F$6+I69)))</f>
        <v/>
      </c>
      <c r="Q69" s="8" t="str">
        <f aca="false">IF(Eingaben!$B$20="","",IF(P69&lt;=12348,0,IF(P69&lt;=17799,(914.51*((P69-12348)/10000)+1400)*((P69-12348)/10000),IF(P69&lt;=69878,(181.19*((P69-17799)/10000)+2397)*((P69-17799)/10000)+1025.38,IF(P69&lt;=277825,0.42*P69-10637.32,0.45*P69-18971.07)))))</f>
        <v/>
      </c>
    </row>
    <row r="70" customFormat="false" ht="15" hidden="false" customHeight="false" outlineLevel="0" collapsed="false">
      <c r="A70" s="28" t="n">
        <v>7</v>
      </c>
      <c r="B70" s="29" t="str">
        <f aca="false">IF(Eingaben!$B$20="","",Cashflow!B70)</f>
        <v/>
      </c>
      <c r="C70" s="28" t="n">
        <v>6</v>
      </c>
      <c r="D70" s="31" t="str">
        <f aca="false">IF(Eingaben!$B$20="","",H69)</f>
        <v/>
      </c>
      <c r="E70" s="31" t="str">
        <f aca="false">IF(Eingaben!$B$20="","",MIN(D70,MAX(0,IF(Eingaben!$S$20="Ja",D70*Eingaben!$T$20,Eingaben!$AD$20*Eingaben!$Q$20))))</f>
        <v/>
      </c>
      <c r="F70" s="31" t="str">
        <f aca="false">IF(Eingaben!$B$20="","",MIN(MAX(0,IF(AND(Eingaben!$U$20="Ja",6&lt;=Eingaben!$W$20),Eingaben!$AD$20*Eingaben!$V$20,0)),MAX(0,D70-E70)))</f>
        <v/>
      </c>
      <c r="G70" s="31" t="str">
        <f aca="false">IF(Eingaben!$B$20="","",E70+F70)</f>
        <v/>
      </c>
      <c r="H70" s="31" t="str">
        <f aca="false">IF(Eingaben!$B$20="","",D70-G70)</f>
        <v/>
      </c>
      <c r="I70" s="31" t="str">
        <f aca="false">IF(Eingaben!$B$20="","",Cashflow!E70-Cashflow!G70-G70)</f>
        <v/>
      </c>
      <c r="J70" s="31" t="str">
        <f aca="false">IF(Eingaben!$B$20="","",IF(Eingaben!$D$6="Ja",2*MAX(0,O70),MAX(0,O70)))</f>
        <v/>
      </c>
      <c r="K70" s="31" t="str">
        <f aca="false">IF(Eingaben!$B$20="","",IF(Eingaben!$D$6="Ja",2*MAX(0,Q70),MAX(0,Q70)))</f>
        <v/>
      </c>
      <c r="L70" s="40" t="str">
        <f aca="false">IF(Eingaben!$B$20="","",IF(Eingaben!$D$5&gt;0,J70-K70,-I70*Eingaben!$D$9))</f>
        <v/>
      </c>
      <c r="N70" s="8" t="str">
        <f aca="false">IF(Eingaben!$B$20="","",IF(Eingaben!$D$6="Ja",Eingaben!$F$6/2,Eingaben!$F$6))</f>
        <v/>
      </c>
      <c r="O70" s="8" t="str">
        <f aca="false">IF(Eingaben!$B$20="","",IF(N70&lt;=12348,0,IF(N70&lt;=17799,(914.51*((N70-12348)/10000)+1400)*((N70-12348)/10000),IF(N70&lt;=69878,(181.19*((N70-17799)/10000)+2397)*((N70-17799)/10000)+1025.38,IF(N70&lt;=277825,0.42*N70-10637.32,0.45*N70-18971.07)))))</f>
        <v/>
      </c>
      <c r="P70" s="8" t="str">
        <f aca="false">IF(Eingaben!$B$20="","",IF(Eingaben!$D$6="Ja",MAX(0,Eingaben!$F$6+I70)/2,MAX(0,Eingaben!$F$6+I70)))</f>
        <v/>
      </c>
      <c r="Q70" s="8" t="str">
        <f aca="false">IF(Eingaben!$B$20="","",IF(P70&lt;=12348,0,IF(P70&lt;=17799,(914.51*((P70-12348)/10000)+1400)*((P70-12348)/10000),IF(P70&lt;=69878,(181.19*((P70-17799)/10000)+2397)*((P70-17799)/10000)+1025.38,IF(P70&lt;=277825,0.42*P70-10637.32,0.45*P70-18971.07)))))</f>
        <v/>
      </c>
    </row>
    <row r="71" customFormat="false" ht="15" hidden="false" customHeight="false" outlineLevel="0" collapsed="false">
      <c r="A71" s="28" t="n">
        <v>7</v>
      </c>
      <c r="B71" s="29" t="str">
        <f aca="false">IF(Eingaben!$B$20="","",Cashflow!B71)</f>
        <v/>
      </c>
      <c r="C71" s="28" t="n">
        <v>7</v>
      </c>
      <c r="D71" s="31" t="str">
        <f aca="false">IF(Eingaben!$B$20="","",H70)</f>
        <v/>
      </c>
      <c r="E71" s="31" t="str">
        <f aca="false">IF(Eingaben!$B$20="","",MIN(D71,MAX(0,IF(Eingaben!$S$20="Ja",D71*Eingaben!$T$20,Eingaben!$AD$20*Eingaben!$Q$20))))</f>
        <v/>
      </c>
      <c r="F71" s="31" t="str">
        <f aca="false">IF(Eingaben!$B$20="","",MIN(MAX(0,IF(AND(Eingaben!$U$20="Ja",7&lt;=Eingaben!$W$20),Eingaben!$AD$20*Eingaben!$V$20,0)),MAX(0,D71-E71)))</f>
        <v/>
      </c>
      <c r="G71" s="31" t="str">
        <f aca="false">IF(Eingaben!$B$20="","",E71+F71)</f>
        <v/>
      </c>
      <c r="H71" s="31" t="str">
        <f aca="false">IF(Eingaben!$B$20="","",D71-G71)</f>
        <v/>
      </c>
      <c r="I71" s="31" t="str">
        <f aca="false">IF(Eingaben!$B$20="","",Cashflow!E71-Cashflow!G71-G71)</f>
        <v/>
      </c>
      <c r="J71" s="31" t="str">
        <f aca="false">IF(Eingaben!$B$20="","",IF(Eingaben!$D$6="Ja",2*MAX(0,O71),MAX(0,O71)))</f>
        <v/>
      </c>
      <c r="K71" s="31" t="str">
        <f aca="false">IF(Eingaben!$B$20="","",IF(Eingaben!$D$6="Ja",2*MAX(0,Q71),MAX(0,Q71)))</f>
        <v/>
      </c>
      <c r="L71" s="40" t="str">
        <f aca="false">IF(Eingaben!$B$20="","",IF(Eingaben!$D$5&gt;0,J71-K71,-I71*Eingaben!$D$9))</f>
        <v/>
      </c>
      <c r="N71" s="8" t="str">
        <f aca="false">IF(Eingaben!$B$20="","",IF(Eingaben!$D$6="Ja",Eingaben!$F$6/2,Eingaben!$F$6))</f>
        <v/>
      </c>
      <c r="O71" s="8" t="str">
        <f aca="false">IF(Eingaben!$B$20="","",IF(N71&lt;=12348,0,IF(N71&lt;=17799,(914.51*((N71-12348)/10000)+1400)*((N71-12348)/10000),IF(N71&lt;=69878,(181.19*((N71-17799)/10000)+2397)*((N71-17799)/10000)+1025.38,IF(N71&lt;=277825,0.42*N71-10637.32,0.45*N71-18971.07)))))</f>
        <v/>
      </c>
      <c r="P71" s="8" t="str">
        <f aca="false">IF(Eingaben!$B$20="","",IF(Eingaben!$D$6="Ja",MAX(0,Eingaben!$F$6+I71)/2,MAX(0,Eingaben!$F$6+I71)))</f>
        <v/>
      </c>
      <c r="Q71" s="8" t="str">
        <f aca="false">IF(Eingaben!$B$20="","",IF(P71&lt;=12348,0,IF(P71&lt;=17799,(914.51*((P71-12348)/10000)+1400)*((P71-12348)/10000),IF(P71&lt;=69878,(181.19*((P71-17799)/10000)+2397)*((P71-17799)/10000)+1025.38,IF(P71&lt;=277825,0.42*P71-10637.32,0.45*P71-18971.07)))))</f>
        <v/>
      </c>
    </row>
    <row r="72" customFormat="false" ht="15" hidden="false" customHeight="false" outlineLevel="0" collapsed="false">
      <c r="A72" s="28" t="n">
        <v>7</v>
      </c>
      <c r="B72" s="29" t="str">
        <f aca="false">IF(Eingaben!$B$20="","",Cashflow!B72)</f>
        <v/>
      </c>
      <c r="C72" s="28" t="n">
        <v>8</v>
      </c>
      <c r="D72" s="31" t="str">
        <f aca="false">IF(Eingaben!$B$20="","",H71)</f>
        <v/>
      </c>
      <c r="E72" s="31" t="str">
        <f aca="false">IF(Eingaben!$B$20="","",MIN(D72,MAX(0,IF(Eingaben!$S$20="Ja",D72*Eingaben!$T$20,Eingaben!$AD$20*Eingaben!$Q$20))))</f>
        <v/>
      </c>
      <c r="F72" s="31" t="str">
        <f aca="false">IF(Eingaben!$B$20="","",MIN(MAX(0,IF(AND(Eingaben!$U$20="Ja",8&lt;=Eingaben!$W$20),Eingaben!$AD$20*Eingaben!$V$20,0)),MAX(0,D72-E72)))</f>
        <v/>
      </c>
      <c r="G72" s="31" t="str">
        <f aca="false">IF(Eingaben!$B$20="","",E72+F72)</f>
        <v/>
      </c>
      <c r="H72" s="31" t="str">
        <f aca="false">IF(Eingaben!$B$20="","",D72-G72)</f>
        <v/>
      </c>
      <c r="I72" s="31" t="str">
        <f aca="false">IF(Eingaben!$B$20="","",Cashflow!E72-Cashflow!G72-G72)</f>
        <v/>
      </c>
      <c r="J72" s="31" t="str">
        <f aca="false">IF(Eingaben!$B$20="","",IF(Eingaben!$D$6="Ja",2*MAX(0,O72),MAX(0,O72)))</f>
        <v/>
      </c>
      <c r="K72" s="31" t="str">
        <f aca="false">IF(Eingaben!$B$20="","",IF(Eingaben!$D$6="Ja",2*MAX(0,Q72),MAX(0,Q72)))</f>
        <v/>
      </c>
      <c r="L72" s="40" t="str">
        <f aca="false">IF(Eingaben!$B$20="","",IF(Eingaben!$D$5&gt;0,J72-K72,-I72*Eingaben!$D$9))</f>
        <v/>
      </c>
      <c r="N72" s="8" t="str">
        <f aca="false">IF(Eingaben!$B$20="","",IF(Eingaben!$D$6="Ja",Eingaben!$F$6/2,Eingaben!$F$6))</f>
        <v/>
      </c>
      <c r="O72" s="8" t="str">
        <f aca="false">IF(Eingaben!$B$20="","",IF(N72&lt;=12348,0,IF(N72&lt;=17799,(914.51*((N72-12348)/10000)+1400)*((N72-12348)/10000),IF(N72&lt;=69878,(181.19*((N72-17799)/10000)+2397)*((N72-17799)/10000)+1025.38,IF(N72&lt;=277825,0.42*N72-10637.32,0.45*N72-18971.07)))))</f>
        <v/>
      </c>
      <c r="P72" s="8" t="str">
        <f aca="false">IF(Eingaben!$B$20="","",IF(Eingaben!$D$6="Ja",MAX(0,Eingaben!$F$6+I72)/2,MAX(0,Eingaben!$F$6+I72)))</f>
        <v/>
      </c>
      <c r="Q72" s="8" t="str">
        <f aca="false">IF(Eingaben!$B$20="","",IF(P72&lt;=12348,0,IF(P72&lt;=17799,(914.51*((P72-12348)/10000)+1400)*((P72-12348)/10000),IF(P72&lt;=69878,(181.19*((P72-17799)/10000)+2397)*((P72-17799)/10000)+1025.38,IF(P72&lt;=277825,0.42*P72-10637.32,0.45*P72-18971.07)))))</f>
        <v/>
      </c>
    </row>
    <row r="73" customFormat="false" ht="15" hidden="false" customHeight="false" outlineLevel="0" collapsed="false">
      <c r="A73" s="28" t="n">
        <v>7</v>
      </c>
      <c r="B73" s="29" t="str">
        <f aca="false">IF(Eingaben!$B$20="","",Cashflow!B73)</f>
        <v/>
      </c>
      <c r="C73" s="28" t="n">
        <v>9</v>
      </c>
      <c r="D73" s="31" t="str">
        <f aca="false">IF(Eingaben!$B$20="","",H72)</f>
        <v/>
      </c>
      <c r="E73" s="31" t="str">
        <f aca="false">IF(Eingaben!$B$20="","",MIN(D73,MAX(0,IF(Eingaben!$S$20="Ja",D73*Eingaben!$T$20,Eingaben!$AD$20*Eingaben!$Q$20))))</f>
        <v/>
      </c>
      <c r="F73" s="31" t="str">
        <f aca="false">IF(Eingaben!$B$20="","",MIN(MAX(0,IF(AND(Eingaben!$U$20="Ja",9&lt;=Eingaben!$W$20),Eingaben!$AD$20*Eingaben!$V$20,0)),MAX(0,D73-E73)))</f>
        <v/>
      </c>
      <c r="G73" s="31" t="str">
        <f aca="false">IF(Eingaben!$B$20="","",E73+F73)</f>
        <v/>
      </c>
      <c r="H73" s="31" t="str">
        <f aca="false">IF(Eingaben!$B$20="","",D73-G73)</f>
        <v/>
      </c>
      <c r="I73" s="31" t="str">
        <f aca="false">IF(Eingaben!$B$20="","",Cashflow!E73-Cashflow!G73-G73)</f>
        <v/>
      </c>
      <c r="J73" s="31" t="str">
        <f aca="false">IF(Eingaben!$B$20="","",IF(Eingaben!$D$6="Ja",2*MAX(0,O73),MAX(0,O73)))</f>
        <v/>
      </c>
      <c r="K73" s="31" t="str">
        <f aca="false">IF(Eingaben!$B$20="","",IF(Eingaben!$D$6="Ja",2*MAX(0,Q73),MAX(0,Q73)))</f>
        <v/>
      </c>
      <c r="L73" s="40" t="str">
        <f aca="false">IF(Eingaben!$B$20="","",IF(Eingaben!$D$5&gt;0,J73-K73,-I73*Eingaben!$D$9))</f>
        <v/>
      </c>
      <c r="N73" s="8" t="str">
        <f aca="false">IF(Eingaben!$B$20="","",IF(Eingaben!$D$6="Ja",Eingaben!$F$6/2,Eingaben!$F$6))</f>
        <v/>
      </c>
      <c r="O73" s="8" t="str">
        <f aca="false">IF(Eingaben!$B$20="","",IF(N73&lt;=12348,0,IF(N73&lt;=17799,(914.51*((N73-12348)/10000)+1400)*((N73-12348)/10000),IF(N73&lt;=69878,(181.19*((N73-17799)/10000)+2397)*((N73-17799)/10000)+1025.38,IF(N73&lt;=277825,0.42*N73-10637.32,0.45*N73-18971.07)))))</f>
        <v/>
      </c>
      <c r="P73" s="8" t="str">
        <f aca="false">IF(Eingaben!$B$20="","",IF(Eingaben!$D$6="Ja",MAX(0,Eingaben!$F$6+I73)/2,MAX(0,Eingaben!$F$6+I73)))</f>
        <v/>
      </c>
      <c r="Q73" s="8" t="str">
        <f aca="false">IF(Eingaben!$B$20="","",IF(P73&lt;=12348,0,IF(P73&lt;=17799,(914.51*((P73-12348)/10000)+1400)*((P73-12348)/10000),IF(P73&lt;=69878,(181.19*((P73-17799)/10000)+2397)*((P73-17799)/10000)+1025.38,IF(P73&lt;=277825,0.42*P73-10637.32,0.45*P73-18971.07)))))</f>
        <v/>
      </c>
    </row>
    <row r="74" customFormat="false" ht="15" hidden="false" customHeight="false" outlineLevel="0" collapsed="false">
      <c r="A74" s="28" t="n">
        <v>7</v>
      </c>
      <c r="B74" s="29" t="str">
        <f aca="false">IF(Eingaben!$B$20="","",Cashflow!B74)</f>
        <v/>
      </c>
      <c r="C74" s="28" t="n">
        <v>10</v>
      </c>
      <c r="D74" s="31" t="str">
        <f aca="false">IF(Eingaben!$B$20="","",H73)</f>
        <v/>
      </c>
      <c r="E74" s="31" t="str">
        <f aca="false">IF(Eingaben!$B$20="","",MIN(D74,MAX(0,IF(Eingaben!$S$20="Ja",D74*Eingaben!$T$20,Eingaben!$AD$20*Eingaben!$Q$20))))</f>
        <v/>
      </c>
      <c r="F74" s="31" t="str">
        <f aca="false">IF(Eingaben!$B$20="","",MIN(MAX(0,IF(AND(Eingaben!$U$20="Ja",10&lt;=Eingaben!$W$20),Eingaben!$AD$20*Eingaben!$V$20,0)),MAX(0,D74-E74)))</f>
        <v/>
      </c>
      <c r="G74" s="31" t="str">
        <f aca="false">IF(Eingaben!$B$20="","",E74+F74)</f>
        <v/>
      </c>
      <c r="H74" s="31" t="str">
        <f aca="false">IF(Eingaben!$B$20="","",D74-G74)</f>
        <v/>
      </c>
      <c r="I74" s="31" t="str">
        <f aca="false">IF(Eingaben!$B$20="","",Cashflow!E74-Cashflow!G74-G74)</f>
        <v/>
      </c>
      <c r="J74" s="31" t="str">
        <f aca="false">IF(Eingaben!$B$20="","",IF(Eingaben!$D$6="Ja",2*MAX(0,O74),MAX(0,O74)))</f>
        <v/>
      </c>
      <c r="K74" s="31" t="str">
        <f aca="false">IF(Eingaben!$B$20="","",IF(Eingaben!$D$6="Ja",2*MAX(0,Q74),MAX(0,Q74)))</f>
        <v/>
      </c>
      <c r="L74" s="40" t="str">
        <f aca="false">IF(Eingaben!$B$20="","",IF(Eingaben!$D$5&gt;0,J74-K74,-I74*Eingaben!$D$9))</f>
        <v/>
      </c>
      <c r="N74" s="8" t="str">
        <f aca="false">IF(Eingaben!$B$20="","",IF(Eingaben!$D$6="Ja",Eingaben!$F$6/2,Eingaben!$F$6))</f>
        <v/>
      </c>
      <c r="O74" s="8" t="str">
        <f aca="false">IF(Eingaben!$B$20="","",IF(N74&lt;=12348,0,IF(N74&lt;=17799,(914.51*((N74-12348)/10000)+1400)*((N74-12348)/10000),IF(N74&lt;=69878,(181.19*((N74-17799)/10000)+2397)*((N74-17799)/10000)+1025.38,IF(N74&lt;=277825,0.42*N74-10637.32,0.45*N74-18971.07)))))</f>
        <v/>
      </c>
      <c r="P74" s="8" t="str">
        <f aca="false">IF(Eingaben!$B$20="","",IF(Eingaben!$D$6="Ja",MAX(0,Eingaben!$F$6+I74)/2,MAX(0,Eingaben!$F$6+I74)))</f>
        <v/>
      </c>
      <c r="Q74" s="8" t="str">
        <f aca="false">IF(Eingaben!$B$20="","",IF(P74&lt;=12348,0,IF(P74&lt;=17799,(914.51*((P74-12348)/10000)+1400)*((P74-12348)/10000),IF(P74&lt;=69878,(181.19*((P74-17799)/10000)+2397)*((P74-17799)/10000)+1025.38,IF(P74&lt;=277825,0.42*P74-10637.32,0.45*P74-18971.07)))))</f>
        <v/>
      </c>
    </row>
    <row r="75" customFormat="false" ht="15" hidden="false" customHeight="false" outlineLevel="0" collapsed="false">
      <c r="A75" s="35" t="n">
        <v>8</v>
      </c>
      <c r="B75" s="29" t="str">
        <f aca="false">IF(Eingaben!$B$21="","",Cashflow!B75)</f>
        <v/>
      </c>
      <c r="C75" s="35" t="n">
        <v>1</v>
      </c>
      <c r="D75" s="36" t="str">
        <f aca="false">IF(Eingaben!$B$21="","",Eingaben!$AD$21)</f>
        <v/>
      </c>
      <c r="E75" s="36" t="str">
        <f aca="false">IF(Eingaben!$B$21="","",MIN(D75,MAX(0,IF(Eingaben!$S$21="Ja",D75*Eingaben!$T$21,Eingaben!$AD$21*Eingaben!$Q$21))))</f>
        <v/>
      </c>
      <c r="F75" s="36" t="str">
        <f aca="false">IF(Eingaben!$B$21="","",MIN(MAX(0,IF(AND(Eingaben!$U$21="Ja",1&lt;=Eingaben!$W$21),Eingaben!$AD$21*Eingaben!$V$21,0)),MAX(0,D75-E75)))</f>
        <v/>
      </c>
      <c r="G75" s="36" t="str">
        <f aca="false">IF(Eingaben!$B$21="","",E75+F75)</f>
        <v/>
      </c>
      <c r="H75" s="36" t="str">
        <f aca="false">IF(Eingaben!$B$21="","",D75-G75)</f>
        <v/>
      </c>
      <c r="I75" s="36" t="str">
        <f aca="false">IF(Eingaben!$B$21="","",Cashflow!E75-Cashflow!G75-G75)</f>
        <v/>
      </c>
      <c r="J75" s="36" t="str">
        <f aca="false">IF(Eingaben!$B$21="","",IF(Eingaben!$D$6="Ja",2*MAX(0,O75),MAX(0,O75)))</f>
        <v/>
      </c>
      <c r="K75" s="36" t="str">
        <f aca="false">IF(Eingaben!$B$21="","",IF(Eingaben!$D$6="Ja",2*MAX(0,Q75),MAX(0,Q75)))</f>
        <v/>
      </c>
      <c r="L75" s="42" t="str">
        <f aca="false">IF(Eingaben!$B$21="","",IF(Eingaben!$D$5&gt;0,J75-K75,-I75*Eingaben!$D$9))</f>
        <v/>
      </c>
      <c r="N75" s="8" t="str">
        <f aca="false">IF(Eingaben!$B$21="","",IF(Eingaben!$D$6="Ja",Eingaben!$F$6/2,Eingaben!$F$6))</f>
        <v/>
      </c>
      <c r="O75" s="8" t="str">
        <f aca="false">IF(Eingaben!$B$21="","",IF(N75&lt;=12348,0,IF(N75&lt;=17799,(914.51*((N75-12348)/10000)+1400)*((N75-12348)/10000),IF(N75&lt;=69878,(181.19*((N75-17799)/10000)+2397)*((N75-17799)/10000)+1025.38,IF(N75&lt;=277825,0.42*N75-10637.32,0.45*N75-18971.07)))))</f>
        <v/>
      </c>
      <c r="P75" s="8" t="str">
        <f aca="false">IF(Eingaben!$B$21="","",IF(Eingaben!$D$6="Ja",MAX(0,Eingaben!$F$6+I75)/2,MAX(0,Eingaben!$F$6+I75)))</f>
        <v/>
      </c>
      <c r="Q75" s="8" t="str">
        <f aca="false">IF(Eingaben!$B$21="","",IF(P75&lt;=12348,0,IF(P75&lt;=17799,(914.51*((P75-12348)/10000)+1400)*((P75-12348)/10000),IF(P75&lt;=69878,(181.19*((P75-17799)/10000)+2397)*((P75-17799)/10000)+1025.38,IF(P75&lt;=277825,0.42*P75-10637.32,0.45*P75-18971.07)))))</f>
        <v/>
      </c>
    </row>
    <row r="76" customFormat="false" ht="15" hidden="false" customHeight="false" outlineLevel="0" collapsed="false">
      <c r="A76" s="35" t="n">
        <v>8</v>
      </c>
      <c r="B76" s="29" t="str">
        <f aca="false">IF(Eingaben!$B$21="","",Cashflow!B76)</f>
        <v/>
      </c>
      <c r="C76" s="35" t="n">
        <v>2</v>
      </c>
      <c r="D76" s="36" t="str">
        <f aca="false">IF(Eingaben!$B$21="","",H75)</f>
        <v/>
      </c>
      <c r="E76" s="36" t="str">
        <f aca="false">IF(Eingaben!$B$21="","",MIN(D76,MAX(0,IF(Eingaben!$S$21="Ja",D76*Eingaben!$T$21,Eingaben!$AD$21*Eingaben!$Q$21))))</f>
        <v/>
      </c>
      <c r="F76" s="36" t="str">
        <f aca="false">IF(Eingaben!$B$21="","",MIN(MAX(0,IF(AND(Eingaben!$U$21="Ja",2&lt;=Eingaben!$W$21),Eingaben!$AD$21*Eingaben!$V$21,0)),MAX(0,D76-E76)))</f>
        <v/>
      </c>
      <c r="G76" s="36" t="str">
        <f aca="false">IF(Eingaben!$B$21="","",E76+F76)</f>
        <v/>
      </c>
      <c r="H76" s="36" t="str">
        <f aca="false">IF(Eingaben!$B$21="","",D76-G76)</f>
        <v/>
      </c>
      <c r="I76" s="36" t="str">
        <f aca="false">IF(Eingaben!$B$21="","",Cashflow!E76-Cashflow!G76-G76)</f>
        <v/>
      </c>
      <c r="J76" s="36" t="str">
        <f aca="false">IF(Eingaben!$B$21="","",IF(Eingaben!$D$6="Ja",2*MAX(0,O76),MAX(0,O76)))</f>
        <v/>
      </c>
      <c r="K76" s="36" t="str">
        <f aca="false">IF(Eingaben!$B$21="","",IF(Eingaben!$D$6="Ja",2*MAX(0,Q76),MAX(0,Q76)))</f>
        <v/>
      </c>
      <c r="L76" s="42" t="str">
        <f aca="false">IF(Eingaben!$B$21="","",IF(Eingaben!$D$5&gt;0,J76-K76,-I76*Eingaben!$D$9))</f>
        <v/>
      </c>
      <c r="N76" s="8" t="str">
        <f aca="false">IF(Eingaben!$B$21="","",IF(Eingaben!$D$6="Ja",Eingaben!$F$6/2,Eingaben!$F$6))</f>
        <v/>
      </c>
      <c r="O76" s="8" t="str">
        <f aca="false">IF(Eingaben!$B$21="","",IF(N76&lt;=12348,0,IF(N76&lt;=17799,(914.51*((N76-12348)/10000)+1400)*((N76-12348)/10000),IF(N76&lt;=69878,(181.19*((N76-17799)/10000)+2397)*((N76-17799)/10000)+1025.38,IF(N76&lt;=277825,0.42*N76-10637.32,0.45*N76-18971.07)))))</f>
        <v/>
      </c>
      <c r="P76" s="8" t="str">
        <f aca="false">IF(Eingaben!$B$21="","",IF(Eingaben!$D$6="Ja",MAX(0,Eingaben!$F$6+I76)/2,MAX(0,Eingaben!$F$6+I76)))</f>
        <v/>
      </c>
      <c r="Q76" s="8" t="str">
        <f aca="false">IF(Eingaben!$B$21="","",IF(P76&lt;=12348,0,IF(P76&lt;=17799,(914.51*((P76-12348)/10000)+1400)*((P76-12348)/10000),IF(P76&lt;=69878,(181.19*((P76-17799)/10000)+2397)*((P76-17799)/10000)+1025.38,IF(P76&lt;=277825,0.42*P76-10637.32,0.45*P76-18971.07)))))</f>
        <v/>
      </c>
    </row>
    <row r="77" customFormat="false" ht="15" hidden="false" customHeight="false" outlineLevel="0" collapsed="false">
      <c r="A77" s="35" t="n">
        <v>8</v>
      </c>
      <c r="B77" s="29" t="str">
        <f aca="false">IF(Eingaben!$B$21="","",Cashflow!B77)</f>
        <v/>
      </c>
      <c r="C77" s="35" t="n">
        <v>3</v>
      </c>
      <c r="D77" s="36" t="str">
        <f aca="false">IF(Eingaben!$B$21="","",H76)</f>
        <v/>
      </c>
      <c r="E77" s="36" t="str">
        <f aca="false">IF(Eingaben!$B$21="","",MIN(D77,MAX(0,IF(Eingaben!$S$21="Ja",D77*Eingaben!$T$21,Eingaben!$AD$21*Eingaben!$Q$21))))</f>
        <v/>
      </c>
      <c r="F77" s="36" t="str">
        <f aca="false">IF(Eingaben!$B$21="","",MIN(MAX(0,IF(AND(Eingaben!$U$21="Ja",3&lt;=Eingaben!$W$21),Eingaben!$AD$21*Eingaben!$V$21,0)),MAX(0,D77-E77)))</f>
        <v/>
      </c>
      <c r="G77" s="36" t="str">
        <f aca="false">IF(Eingaben!$B$21="","",E77+F77)</f>
        <v/>
      </c>
      <c r="H77" s="36" t="str">
        <f aca="false">IF(Eingaben!$B$21="","",D77-G77)</f>
        <v/>
      </c>
      <c r="I77" s="36" t="str">
        <f aca="false">IF(Eingaben!$B$21="","",Cashflow!E77-Cashflow!G77-G77)</f>
        <v/>
      </c>
      <c r="J77" s="36" t="str">
        <f aca="false">IF(Eingaben!$B$21="","",IF(Eingaben!$D$6="Ja",2*MAX(0,O77),MAX(0,O77)))</f>
        <v/>
      </c>
      <c r="K77" s="36" t="str">
        <f aca="false">IF(Eingaben!$B$21="","",IF(Eingaben!$D$6="Ja",2*MAX(0,Q77),MAX(0,Q77)))</f>
        <v/>
      </c>
      <c r="L77" s="42" t="str">
        <f aca="false">IF(Eingaben!$B$21="","",IF(Eingaben!$D$5&gt;0,J77-K77,-I77*Eingaben!$D$9))</f>
        <v/>
      </c>
      <c r="N77" s="8" t="str">
        <f aca="false">IF(Eingaben!$B$21="","",IF(Eingaben!$D$6="Ja",Eingaben!$F$6/2,Eingaben!$F$6))</f>
        <v/>
      </c>
      <c r="O77" s="8" t="str">
        <f aca="false">IF(Eingaben!$B$21="","",IF(N77&lt;=12348,0,IF(N77&lt;=17799,(914.51*((N77-12348)/10000)+1400)*((N77-12348)/10000),IF(N77&lt;=69878,(181.19*((N77-17799)/10000)+2397)*((N77-17799)/10000)+1025.38,IF(N77&lt;=277825,0.42*N77-10637.32,0.45*N77-18971.07)))))</f>
        <v/>
      </c>
      <c r="P77" s="8" t="str">
        <f aca="false">IF(Eingaben!$B$21="","",IF(Eingaben!$D$6="Ja",MAX(0,Eingaben!$F$6+I77)/2,MAX(0,Eingaben!$F$6+I77)))</f>
        <v/>
      </c>
      <c r="Q77" s="8" t="str">
        <f aca="false">IF(Eingaben!$B$21="","",IF(P77&lt;=12348,0,IF(P77&lt;=17799,(914.51*((P77-12348)/10000)+1400)*((P77-12348)/10000),IF(P77&lt;=69878,(181.19*((P77-17799)/10000)+2397)*((P77-17799)/10000)+1025.38,IF(P77&lt;=277825,0.42*P77-10637.32,0.45*P77-18971.07)))))</f>
        <v/>
      </c>
    </row>
    <row r="78" customFormat="false" ht="15" hidden="false" customHeight="false" outlineLevel="0" collapsed="false">
      <c r="A78" s="35" t="n">
        <v>8</v>
      </c>
      <c r="B78" s="29" t="str">
        <f aca="false">IF(Eingaben!$B$21="","",Cashflow!B78)</f>
        <v/>
      </c>
      <c r="C78" s="35" t="n">
        <v>4</v>
      </c>
      <c r="D78" s="36" t="str">
        <f aca="false">IF(Eingaben!$B$21="","",H77)</f>
        <v/>
      </c>
      <c r="E78" s="36" t="str">
        <f aca="false">IF(Eingaben!$B$21="","",MIN(D78,MAX(0,IF(Eingaben!$S$21="Ja",D78*Eingaben!$T$21,Eingaben!$AD$21*Eingaben!$Q$21))))</f>
        <v/>
      </c>
      <c r="F78" s="36" t="str">
        <f aca="false">IF(Eingaben!$B$21="","",MIN(MAX(0,IF(AND(Eingaben!$U$21="Ja",4&lt;=Eingaben!$W$21),Eingaben!$AD$21*Eingaben!$V$21,0)),MAX(0,D78-E78)))</f>
        <v/>
      </c>
      <c r="G78" s="36" t="str">
        <f aca="false">IF(Eingaben!$B$21="","",E78+F78)</f>
        <v/>
      </c>
      <c r="H78" s="36" t="str">
        <f aca="false">IF(Eingaben!$B$21="","",D78-G78)</f>
        <v/>
      </c>
      <c r="I78" s="36" t="str">
        <f aca="false">IF(Eingaben!$B$21="","",Cashflow!E78-Cashflow!G78-G78)</f>
        <v/>
      </c>
      <c r="J78" s="36" t="str">
        <f aca="false">IF(Eingaben!$B$21="","",IF(Eingaben!$D$6="Ja",2*MAX(0,O78),MAX(0,O78)))</f>
        <v/>
      </c>
      <c r="K78" s="36" t="str">
        <f aca="false">IF(Eingaben!$B$21="","",IF(Eingaben!$D$6="Ja",2*MAX(0,Q78),MAX(0,Q78)))</f>
        <v/>
      </c>
      <c r="L78" s="42" t="str">
        <f aca="false">IF(Eingaben!$B$21="","",IF(Eingaben!$D$5&gt;0,J78-K78,-I78*Eingaben!$D$9))</f>
        <v/>
      </c>
      <c r="N78" s="8" t="str">
        <f aca="false">IF(Eingaben!$B$21="","",IF(Eingaben!$D$6="Ja",Eingaben!$F$6/2,Eingaben!$F$6))</f>
        <v/>
      </c>
      <c r="O78" s="8" t="str">
        <f aca="false">IF(Eingaben!$B$21="","",IF(N78&lt;=12348,0,IF(N78&lt;=17799,(914.51*((N78-12348)/10000)+1400)*((N78-12348)/10000),IF(N78&lt;=69878,(181.19*((N78-17799)/10000)+2397)*((N78-17799)/10000)+1025.38,IF(N78&lt;=277825,0.42*N78-10637.32,0.45*N78-18971.07)))))</f>
        <v/>
      </c>
      <c r="P78" s="8" t="str">
        <f aca="false">IF(Eingaben!$B$21="","",IF(Eingaben!$D$6="Ja",MAX(0,Eingaben!$F$6+I78)/2,MAX(0,Eingaben!$F$6+I78)))</f>
        <v/>
      </c>
      <c r="Q78" s="8" t="str">
        <f aca="false">IF(Eingaben!$B$21="","",IF(P78&lt;=12348,0,IF(P78&lt;=17799,(914.51*((P78-12348)/10000)+1400)*((P78-12348)/10000),IF(P78&lt;=69878,(181.19*((P78-17799)/10000)+2397)*((P78-17799)/10000)+1025.38,IF(P78&lt;=277825,0.42*P78-10637.32,0.45*P78-18971.07)))))</f>
        <v/>
      </c>
    </row>
    <row r="79" customFormat="false" ht="15" hidden="false" customHeight="false" outlineLevel="0" collapsed="false">
      <c r="A79" s="35" t="n">
        <v>8</v>
      </c>
      <c r="B79" s="29" t="str">
        <f aca="false">IF(Eingaben!$B$21="","",Cashflow!B79)</f>
        <v/>
      </c>
      <c r="C79" s="35" t="n">
        <v>5</v>
      </c>
      <c r="D79" s="36" t="str">
        <f aca="false">IF(Eingaben!$B$21="","",H78)</f>
        <v/>
      </c>
      <c r="E79" s="36" t="str">
        <f aca="false">IF(Eingaben!$B$21="","",MIN(D79,MAX(0,IF(Eingaben!$S$21="Ja",D79*Eingaben!$T$21,Eingaben!$AD$21*Eingaben!$Q$21))))</f>
        <v/>
      </c>
      <c r="F79" s="36" t="str">
        <f aca="false">IF(Eingaben!$B$21="","",MIN(MAX(0,IF(AND(Eingaben!$U$21="Ja",5&lt;=Eingaben!$W$21),Eingaben!$AD$21*Eingaben!$V$21,0)),MAX(0,D79-E79)))</f>
        <v/>
      </c>
      <c r="G79" s="36" t="str">
        <f aca="false">IF(Eingaben!$B$21="","",E79+F79)</f>
        <v/>
      </c>
      <c r="H79" s="36" t="str">
        <f aca="false">IF(Eingaben!$B$21="","",D79-G79)</f>
        <v/>
      </c>
      <c r="I79" s="36" t="str">
        <f aca="false">IF(Eingaben!$B$21="","",Cashflow!E79-Cashflow!G79-G79)</f>
        <v/>
      </c>
      <c r="J79" s="36" t="str">
        <f aca="false">IF(Eingaben!$B$21="","",IF(Eingaben!$D$6="Ja",2*MAX(0,O79),MAX(0,O79)))</f>
        <v/>
      </c>
      <c r="K79" s="36" t="str">
        <f aca="false">IF(Eingaben!$B$21="","",IF(Eingaben!$D$6="Ja",2*MAX(0,Q79),MAX(0,Q79)))</f>
        <v/>
      </c>
      <c r="L79" s="42" t="str">
        <f aca="false">IF(Eingaben!$B$21="","",IF(Eingaben!$D$5&gt;0,J79-K79,-I79*Eingaben!$D$9))</f>
        <v/>
      </c>
      <c r="N79" s="8" t="str">
        <f aca="false">IF(Eingaben!$B$21="","",IF(Eingaben!$D$6="Ja",Eingaben!$F$6/2,Eingaben!$F$6))</f>
        <v/>
      </c>
      <c r="O79" s="8" t="str">
        <f aca="false">IF(Eingaben!$B$21="","",IF(N79&lt;=12348,0,IF(N79&lt;=17799,(914.51*((N79-12348)/10000)+1400)*((N79-12348)/10000),IF(N79&lt;=69878,(181.19*((N79-17799)/10000)+2397)*((N79-17799)/10000)+1025.38,IF(N79&lt;=277825,0.42*N79-10637.32,0.45*N79-18971.07)))))</f>
        <v/>
      </c>
      <c r="P79" s="8" t="str">
        <f aca="false">IF(Eingaben!$B$21="","",IF(Eingaben!$D$6="Ja",MAX(0,Eingaben!$F$6+I79)/2,MAX(0,Eingaben!$F$6+I79)))</f>
        <v/>
      </c>
      <c r="Q79" s="8" t="str">
        <f aca="false">IF(Eingaben!$B$21="","",IF(P79&lt;=12348,0,IF(P79&lt;=17799,(914.51*((P79-12348)/10000)+1400)*((P79-12348)/10000),IF(P79&lt;=69878,(181.19*((P79-17799)/10000)+2397)*((P79-17799)/10000)+1025.38,IF(P79&lt;=277825,0.42*P79-10637.32,0.45*P79-18971.07)))))</f>
        <v/>
      </c>
    </row>
    <row r="80" customFormat="false" ht="15" hidden="false" customHeight="false" outlineLevel="0" collapsed="false">
      <c r="A80" s="35" t="n">
        <v>8</v>
      </c>
      <c r="B80" s="29" t="str">
        <f aca="false">IF(Eingaben!$B$21="","",Cashflow!B80)</f>
        <v/>
      </c>
      <c r="C80" s="35" t="n">
        <v>6</v>
      </c>
      <c r="D80" s="36" t="str">
        <f aca="false">IF(Eingaben!$B$21="","",H79)</f>
        <v/>
      </c>
      <c r="E80" s="36" t="str">
        <f aca="false">IF(Eingaben!$B$21="","",MIN(D80,MAX(0,IF(Eingaben!$S$21="Ja",D80*Eingaben!$T$21,Eingaben!$AD$21*Eingaben!$Q$21))))</f>
        <v/>
      </c>
      <c r="F80" s="36" t="str">
        <f aca="false">IF(Eingaben!$B$21="","",MIN(MAX(0,IF(AND(Eingaben!$U$21="Ja",6&lt;=Eingaben!$W$21),Eingaben!$AD$21*Eingaben!$V$21,0)),MAX(0,D80-E80)))</f>
        <v/>
      </c>
      <c r="G80" s="36" t="str">
        <f aca="false">IF(Eingaben!$B$21="","",E80+F80)</f>
        <v/>
      </c>
      <c r="H80" s="36" t="str">
        <f aca="false">IF(Eingaben!$B$21="","",D80-G80)</f>
        <v/>
      </c>
      <c r="I80" s="36" t="str">
        <f aca="false">IF(Eingaben!$B$21="","",Cashflow!E80-Cashflow!G80-G80)</f>
        <v/>
      </c>
      <c r="J80" s="36" t="str">
        <f aca="false">IF(Eingaben!$B$21="","",IF(Eingaben!$D$6="Ja",2*MAX(0,O80),MAX(0,O80)))</f>
        <v/>
      </c>
      <c r="K80" s="36" t="str">
        <f aca="false">IF(Eingaben!$B$21="","",IF(Eingaben!$D$6="Ja",2*MAX(0,Q80),MAX(0,Q80)))</f>
        <v/>
      </c>
      <c r="L80" s="42" t="str">
        <f aca="false">IF(Eingaben!$B$21="","",IF(Eingaben!$D$5&gt;0,J80-K80,-I80*Eingaben!$D$9))</f>
        <v/>
      </c>
      <c r="N80" s="8" t="str">
        <f aca="false">IF(Eingaben!$B$21="","",IF(Eingaben!$D$6="Ja",Eingaben!$F$6/2,Eingaben!$F$6))</f>
        <v/>
      </c>
      <c r="O80" s="8" t="str">
        <f aca="false">IF(Eingaben!$B$21="","",IF(N80&lt;=12348,0,IF(N80&lt;=17799,(914.51*((N80-12348)/10000)+1400)*((N80-12348)/10000),IF(N80&lt;=69878,(181.19*((N80-17799)/10000)+2397)*((N80-17799)/10000)+1025.38,IF(N80&lt;=277825,0.42*N80-10637.32,0.45*N80-18971.07)))))</f>
        <v/>
      </c>
      <c r="P80" s="8" t="str">
        <f aca="false">IF(Eingaben!$B$21="","",IF(Eingaben!$D$6="Ja",MAX(0,Eingaben!$F$6+I80)/2,MAX(0,Eingaben!$F$6+I80)))</f>
        <v/>
      </c>
      <c r="Q80" s="8" t="str">
        <f aca="false">IF(Eingaben!$B$21="","",IF(P80&lt;=12348,0,IF(P80&lt;=17799,(914.51*((P80-12348)/10000)+1400)*((P80-12348)/10000),IF(P80&lt;=69878,(181.19*((P80-17799)/10000)+2397)*((P80-17799)/10000)+1025.38,IF(P80&lt;=277825,0.42*P80-10637.32,0.45*P80-18971.07)))))</f>
        <v/>
      </c>
    </row>
    <row r="81" customFormat="false" ht="15" hidden="false" customHeight="false" outlineLevel="0" collapsed="false">
      <c r="A81" s="35" t="n">
        <v>8</v>
      </c>
      <c r="B81" s="29" t="str">
        <f aca="false">IF(Eingaben!$B$21="","",Cashflow!B81)</f>
        <v/>
      </c>
      <c r="C81" s="35" t="n">
        <v>7</v>
      </c>
      <c r="D81" s="36" t="str">
        <f aca="false">IF(Eingaben!$B$21="","",H80)</f>
        <v/>
      </c>
      <c r="E81" s="36" t="str">
        <f aca="false">IF(Eingaben!$B$21="","",MIN(D81,MAX(0,IF(Eingaben!$S$21="Ja",D81*Eingaben!$T$21,Eingaben!$AD$21*Eingaben!$Q$21))))</f>
        <v/>
      </c>
      <c r="F81" s="36" t="str">
        <f aca="false">IF(Eingaben!$B$21="","",MIN(MAX(0,IF(AND(Eingaben!$U$21="Ja",7&lt;=Eingaben!$W$21),Eingaben!$AD$21*Eingaben!$V$21,0)),MAX(0,D81-E81)))</f>
        <v/>
      </c>
      <c r="G81" s="36" t="str">
        <f aca="false">IF(Eingaben!$B$21="","",E81+F81)</f>
        <v/>
      </c>
      <c r="H81" s="36" t="str">
        <f aca="false">IF(Eingaben!$B$21="","",D81-G81)</f>
        <v/>
      </c>
      <c r="I81" s="36" t="str">
        <f aca="false">IF(Eingaben!$B$21="","",Cashflow!E81-Cashflow!G81-G81)</f>
        <v/>
      </c>
      <c r="J81" s="36" t="str">
        <f aca="false">IF(Eingaben!$B$21="","",IF(Eingaben!$D$6="Ja",2*MAX(0,O81),MAX(0,O81)))</f>
        <v/>
      </c>
      <c r="K81" s="36" t="str">
        <f aca="false">IF(Eingaben!$B$21="","",IF(Eingaben!$D$6="Ja",2*MAX(0,Q81),MAX(0,Q81)))</f>
        <v/>
      </c>
      <c r="L81" s="42" t="str">
        <f aca="false">IF(Eingaben!$B$21="","",IF(Eingaben!$D$5&gt;0,J81-K81,-I81*Eingaben!$D$9))</f>
        <v/>
      </c>
      <c r="N81" s="8" t="str">
        <f aca="false">IF(Eingaben!$B$21="","",IF(Eingaben!$D$6="Ja",Eingaben!$F$6/2,Eingaben!$F$6))</f>
        <v/>
      </c>
      <c r="O81" s="8" t="str">
        <f aca="false">IF(Eingaben!$B$21="","",IF(N81&lt;=12348,0,IF(N81&lt;=17799,(914.51*((N81-12348)/10000)+1400)*((N81-12348)/10000),IF(N81&lt;=69878,(181.19*((N81-17799)/10000)+2397)*((N81-17799)/10000)+1025.38,IF(N81&lt;=277825,0.42*N81-10637.32,0.45*N81-18971.07)))))</f>
        <v/>
      </c>
      <c r="P81" s="8" t="str">
        <f aca="false">IF(Eingaben!$B$21="","",IF(Eingaben!$D$6="Ja",MAX(0,Eingaben!$F$6+I81)/2,MAX(0,Eingaben!$F$6+I81)))</f>
        <v/>
      </c>
      <c r="Q81" s="8" t="str">
        <f aca="false">IF(Eingaben!$B$21="","",IF(P81&lt;=12348,0,IF(P81&lt;=17799,(914.51*((P81-12348)/10000)+1400)*((P81-12348)/10000),IF(P81&lt;=69878,(181.19*((P81-17799)/10000)+2397)*((P81-17799)/10000)+1025.38,IF(P81&lt;=277825,0.42*P81-10637.32,0.45*P81-18971.07)))))</f>
        <v/>
      </c>
    </row>
    <row r="82" customFormat="false" ht="15" hidden="false" customHeight="false" outlineLevel="0" collapsed="false">
      <c r="A82" s="35" t="n">
        <v>8</v>
      </c>
      <c r="B82" s="29" t="str">
        <f aca="false">IF(Eingaben!$B$21="","",Cashflow!B82)</f>
        <v/>
      </c>
      <c r="C82" s="35" t="n">
        <v>8</v>
      </c>
      <c r="D82" s="36" t="str">
        <f aca="false">IF(Eingaben!$B$21="","",H81)</f>
        <v/>
      </c>
      <c r="E82" s="36" t="str">
        <f aca="false">IF(Eingaben!$B$21="","",MIN(D82,MAX(0,IF(Eingaben!$S$21="Ja",D82*Eingaben!$T$21,Eingaben!$AD$21*Eingaben!$Q$21))))</f>
        <v/>
      </c>
      <c r="F82" s="36" t="str">
        <f aca="false">IF(Eingaben!$B$21="","",MIN(MAX(0,IF(AND(Eingaben!$U$21="Ja",8&lt;=Eingaben!$W$21),Eingaben!$AD$21*Eingaben!$V$21,0)),MAX(0,D82-E82)))</f>
        <v/>
      </c>
      <c r="G82" s="36" t="str">
        <f aca="false">IF(Eingaben!$B$21="","",E82+F82)</f>
        <v/>
      </c>
      <c r="H82" s="36" t="str">
        <f aca="false">IF(Eingaben!$B$21="","",D82-G82)</f>
        <v/>
      </c>
      <c r="I82" s="36" t="str">
        <f aca="false">IF(Eingaben!$B$21="","",Cashflow!E82-Cashflow!G82-G82)</f>
        <v/>
      </c>
      <c r="J82" s="36" t="str">
        <f aca="false">IF(Eingaben!$B$21="","",IF(Eingaben!$D$6="Ja",2*MAX(0,O82),MAX(0,O82)))</f>
        <v/>
      </c>
      <c r="K82" s="36" t="str">
        <f aca="false">IF(Eingaben!$B$21="","",IF(Eingaben!$D$6="Ja",2*MAX(0,Q82),MAX(0,Q82)))</f>
        <v/>
      </c>
      <c r="L82" s="42" t="str">
        <f aca="false">IF(Eingaben!$B$21="","",IF(Eingaben!$D$5&gt;0,J82-K82,-I82*Eingaben!$D$9))</f>
        <v/>
      </c>
      <c r="N82" s="8" t="str">
        <f aca="false">IF(Eingaben!$B$21="","",IF(Eingaben!$D$6="Ja",Eingaben!$F$6/2,Eingaben!$F$6))</f>
        <v/>
      </c>
      <c r="O82" s="8" t="str">
        <f aca="false">IF(Eingaben!$B$21="","",IF(N82&lt;=12348,0,IF(N82&lt;=17799,(914.51*((N82-12348)/10000)+1400)*((N82-12348)/10000),IF(N82&lt;=69878,(181.19*((N82-17799)/10000)+2397)*((N82-17799)/10000)+1025.38,IF(N82&lt;=277825,0.42*N82-10637.32,0.45*N82-18971.07)))))</f>
        <v/>
      </c>
      <c r="P82" s="8" t="str">
        <f aca="false">IF(Eingaben!$B$21="","",IF(Eingaben!$D$6="Ja",MAX(0,Eingaben!$F$6+I82)/2,MAX(0,Eingaben!$F$6+I82)))</f>
        <v/>
      </c>
      <c r="Q82" s="8" t="str">
        <f aca="false">IF(Eingaben!$B$21="","",IF(P82&lt;=12348,0,IF(P82&lt;=17799,(914.51*((P82-12348)/10000)+1400)*((P82-12348)/10000),IF(P82&lt;=69878,(181.19*((P82-17799)/10000)+2397)*((P82-17799)/10000)+1025.38,IF(P82&lt;=277825,0.42*P82-10637.32,0.45*P82-18971.07)))))</f>
        <v/>
      </c>
    </row>
    <row r="83" customFormat="false" ht="15" hidden="false" customHeight="false" outlineLevel="0" collapsed="false">
      <c r="A83" s="35" t="n">
        <v>8</v>
      </c>
      <c r="B83" s="29" t="str">
        <f aca="false">IF(Eingaben!$B$21="","",Cashflow!B83)</f>
        <v/>
      </c>
      <c r="C83" s="35" t="n">
        <v>9</v>
      </c>
      <c r="D83" s="36" t="str">
        <f aca="false">IF(Eingaben!$B$21="","",H82)</f>
        <v/>
      </c>
      <c r="E83" s="36" t="str">
        <f aca="false">IF(Eingaben!$B$21="","",MIN(D83,MAX(0,IF(Eingaben!$S$21="Ja",D83*Eingaben!$T$21,Eingaben!$AD$21*Eingaben!$Q$21))))</f>
        <v/>
      </c>
      <c r="F83" s="36" t="str">
        <f aca="false">IF(Eingaben!$B$21="","",MIN(MAX(0,IF(AND(Eingaben!$U$21="Ja",9&lt;=Eingaben!$W$21),Eingaben!$AD$21*Eingaben!$V$21,0)),MAX(0,D83-E83)))</f>
        <v/>
      </c>
      <c r="G83" s="36" t="str">
        <f aca="false">IF(Eingaben!$B$21="","",E83+F83)</f>
        <v/>
      </c>
      <c r="H83" s="36" t="str">
        <f aca="false">IF(Eingaben!$B$21="","",D83-G83)</f>
        <v/>
      </c>
      <c r="I83" s="36" t="str">
        <f aca="false">IF(Eingaben!$B$21="","",Cashflow!E83-Cashflow!G83-G83)</f>
        <v/>
      </c>
      <c r="J83" s="36" t="str">
        <f aca="false">IF(Eingaben!$B$21="","",IF(Eingaben!$D$6="Ja",2*MAX(0,O83),MAX(0,O83)))</f>
        <v/>
      </c>
      <c r="K83" s="36" t="str">
        <f aca="false">IF(Eingaben!$B$21="","",IF(Eingaben!$D$6="Ja",2*MAX(0,Q83),MAX(0,Q83)))</f>
        <v/>
      </c>
      <c r="L83" s="42" t="str">
        <f aca="false">IF(Eingaben!$B$21="","",IF(Eingaben!$D$5&gt;0,J83-K83,-I83*Eingaben!$D$9))</f>
        <v/>
      </c>
      <c r="N83" s="8" t="str">
        <f aca="false">IF(Eingaben!$B$21="","",IF(Eingaben!$D$6="Ja",Eingaben!$F$6/2,Eingaben!$F$6))</f>
        <v/>
      </c>
      <c r="O83" s="8" t="str">
        <f aca="false">IF(Eingaben!$B$21="","",IF(N83&lt;=12348,0,IF(N83&lt;=17799,(914.51*((N83-12348)/10000)+1400)*((N83-12348)/10000),IF(N83&lt;=69878,(181.19*((N83-17799)/10000)+2397)*((N83-17799)/10000)+1025.38,IF(N83&lt;=277825,0.42*N83-10637.32,0.45*N83-18971.07)))))</f>
        <v/>
      </c>
      <c r="P83" s="8" t="str">
        <f aca="false">IF(Eingaben!$B$21="","",IF(Eingaben!$D$6="Ja",MAX(0,Eingaben!$F$6+I83)/2,MAX(0,Eingaben!$F$6+I83)))</f>
        <v/>
      </c>
      <c r="Q83" s="8" t="str">
        <f aca="false">IF(Eingaben!$B$21="","",IF(P83&lt;=12348,0,IF(P83&lt;=17799,(914.51*((P83-12348)/10000)+1400)*((P83-12348)/10000),IF(P83&lt;=69878,(181.19*((P83-17799)/10000)+2397)*((P83-17799)/10000)+1025.38,IF(P83&lt;=277825,0.42*P83-10637.32,0.45*P83-18971.07)))))</f>
        <v/>
      </c>
    </row>
    <row r="84" customFormat="false" ht="15" hidden="false" customHeight="false" outlineLevel="0" collapsed="false">
      <c r="A84" s="35" t="n">
        <v>8</v>
      </c>
      <c r="B84" s="29" t="str">
        <f aca="false">IF(Eingaben!$B$21="","",Cashflow!B84)</f>
        <v/>
      </c>
      <c r="C84" s="35" t="n">
        <v>10</v>
      </c>
      <c r="D84" s="36" t="str">
        <f aca="false">IF(Eingaben!$B$21="","",H83)</f>
        <v/>
      </c>
      <c r="E84" s="36" t="str">
        <f aca="false">IF(Eingaben!$B$21="","",MIN(D84,MAX(0,IF(Eingaben!$S$21="Ja",D84*Eingaben!$T$21,Eingaben!$AD$21*Eingaben!$Q$21))))</f>
        <v/>
      </c>
      <c r="F84" s="36" t="str">
        <f aca="false">IF(Eingaben!$B$21="","",MIN(MAX(0,IF(AND(Eingaben!$U$21="Ja",10&lt;=Eingaben!$W$21),Eingaben!$AD$21*Eingaben!$V$21,0)),MAX(0,D84-E84)))</f>
        <v/>
      </c>
      <c r="G84" s="36" t="str">
        <f aca="false">IF(Eingaben!$B$21="","",E84+F84)</f>
        <v/>
      </c>
      <c r="H84" s="36" t="str">
        <f aca="false">IF(Eingaben!$B$21="","",D84-G84)</f>
        <v/>
      </c>
      <c r="I84" s="36" t="str">
        <f aca="false">IF(Eingaben!$B$21="","",Cashflow!E84-Cashflow!G84-G84)</f>
        <v/>
      </c>
      <c r="J84" s="36" t="str">
        <f aca="false">IF(Eingaben!$B$21="","",IF(Eingaben!$D$6="Ja",2*MAX(0,O84),MAX(0,O84)))</f>
        <v/>
      </c>
      <c r="K84" s="36" t="str">
        <f aca="false">IF(Eingaben!$B$21="","",IF(Eingaben!$D$6="Ja",2*MAX(0,Q84),MAX(0,Q84)))</f>
        <v/>
      </c>
      <c r="L84" s="42" t="str">
        <f aca="false">IF(Eingaben!$B$21="","",IF(Eingaben!$D$5&gt;0,J84-K84,-I84*Eingaben!$D$9))</f>
        <v/>
      </c>
      <c r="N84" s="8" t="str">
        <f aca="false">IF(Eingaben!$B$21="","",IF(Eingaben!$D$6="Ja",Eingaben!$F$6/2,Eingaben!$F$6))</f>
        <v/>
      </c>
      <c r="O84" s="8" t="str">
        <f aca="false">IF(Eingaben!$B$21="","",IF(N84&lt;=12348,0,IF(N84&lt;=17799,(914.51*((N84-12348)/10000)+1400)*((N84-12348)/10000),IF(N84&lt;=69878,(181.19*((N84-17799)/10000)+2397)*((N84-17799)/10000)+1025.38,IF(N84&lt;=277825,0.42*N84-10637.32,0.45*N84-18971.07)))))</f>
        <v/>
      </c>
      <c r="P84" s="8" t="str">
        <f aca="false">IF(Eingaben!$B$21="","",IF(Eingaben!$D$6="Ja",MAX(0,Eingaben!$F$6+I84)/2,MAX(0,Eingaben!$F$6+I84)))</f>
        <v/>
      </c>
      <c r="Q84" s="8" t="str">
        <f aca="false">IF(Eingaben!$B$21="","",IF(P84&lt;=12348,0,IF(P84&lt;=17799,(914.51*((P84-12348)/10000)+1400)*((P84-12348)/10000),IF(P84&lt;=69878,(181.19*((P84-17799)/10000)+2397)*((P84-17799)/10000)+1025.38,IF(P84&lt;=277825,0.42*P84-10637.32,0.45*P84-18971.07)))))</f>
        <v/>
      </c>
    </row>
    <row r="85" customFormat="false" ht="15" hidden="false" customHeight="false" outlineLevel="0" collapsed="false">
      <c r="A85" s="28" t="n">
        <v>9</v>
      </c>
      <c r="B85" s="29" t="str">
        <f aca="false">IF(Eingaben!$B$22="","",Cashflow!B85)</f>
        <v/>
      </c>
      <c r="C85" s="28" t="n">
        <v>1</v>
      </c>
      <c r="D85" s="31" t="str">
        <f aca="false">IF(Eingaben!$B$22="","",Eingaben!$AD$22)</f>
        <v/>
      </c>
      <c r="E85" s="31" t="str">
        <f aca="false">IF(Eingaben!$B$22="","",MIN(D85,MAX(0,IF(Eingaben!$S$22="Ja",D85*Eingaben!$T$22,Eingaben!$AD$22*Eingaben!$Q$22))))</f>
        <v/>
      </c>
      <c r="F85" s="31" t="str">
        <f aca="false">IF(Eingaben!$B$22="","",MIN(MAX(0,IF(AND(Eingaben!$U$22="Ja",1&lt;=Eingaben!$W$22),Eingaben!$AD$22*Eingaben!$V$22,0)),MAX(0,D85-E85)))</f>
        <v/>
      </c>
      <c r="G85" s="31" t="str">
        <f aca="false">IF(Eingaben!$B$22="","",E85+F85)</f>
        <v/>
      </c>
      <c r="H85" s="31" t="str">
        <f aca="false">IF(Eingaben!$B$22="","",D85-G85)</f>
        <v/>
      </c>
      <c r="I85" s="31" t="str">
        <f aca="false">IF(Eingaben!$B$22="","",Cashflow!E85-Cashflow!G85-G85)</f>
        <v/>
      </c>
      <c r="J85" s="31" t="str">
        <f aca="false">IF(Eingaben!$B$22="","",IF(Eingaben!$D$6="Ja",2*MAX(0,O85),MAX(0,O85)))</f>
        <v/>
      </c>
      <c r="K85" s="31" t="str">
        <f aca="false">IF(Eingaben!$B$22="","",IF(Eingaben!$D$6="Ja",2*MAX(0,Q85),MAX(0,Q85)))</f>
        <v/>
      </c>
      <c r="L85" s="40" t="str">
        <f aca="false">IF(Eingaben!$B$22="","",IF(Eingaben!$D$5&gt;0,J85-K85,-I85*Eingaben!$D$9))</f>
        <v/>
      </c>
      <c r="N85" s="8" t="str">
        <f aca="false">IF(Eingaben!$B$22="","",IF(Eingaben!$D$6="Ja",Eingaben!$F$6/2,Eingaben!$F$6))</f>
        <v/>
      </c>
      <c r="O85" s="8" t="str">
        <f aca="false">IF(Eingaben!$B$22="","",IF(N85&lt;=12348,0,IF(N85&lt;=17799,(914.51*((N85-12348)/10000)+1400)*((N85-12348)/10000),IF(N85&lt;=69878,(181.19*((N85-17799)/10000)+2397)*((N85-17799)/10000)+1025.38,IF(N85&lt;=277825,0.42*N85-10637.32,0.45*N85-18971.07)))))</f>
        <v/>
      </c>
      <c r="P85" s="8" t="str">
        <f aca="false">IF(Eingaben!$B$22="","",IF(Eingaben!$D$6="Ja",MAX(0,Eingaben!$F$6+I85)/2,MAX(0,Eingaben!$F$6+I85)))</f>
        <v/>
      </c>
      <c r="Q85" s="8" t="str">
        <f aca="false">IF(Eingaben!$B$22="","",IF(P85&lt;=12348,0,IF(P85&lt;=17799,(914.51*((P85-12348)/10000)+1400)*((P85-12348)/10000),IF(P85&lt;=69878,(181.19*((P85-17799)/10000)+2397)*((P85-17799)/10000)+1025.38,IF(P85&lt;=277825,0.42*P85-10637.32,0.45*P85-18971.07)))))</f>
        <v/>
      </c>
    </row>
    <row r="86" customFormat="false" ht="15" hidden="false" customHeight="false" outlineLevel="0" collapsed="false">
      <c r="A86" s="28" t="n">
        <v>9</v>
      </c>
      <c r="B86" s="29" t="str">
        <f aca="false">IF(Eingaben!$B$22="","",Cashflow!B86)</f>
        <v/>
      </c>
      <c r="C86" s="28" t="n">
        <v>2</v>
      </c>
      <c r="D86" s="31" t="str">
        <f aca="false">IF(Eingaben!$B$22="","",H85)</f>
        <v/>
      </c>
      <c r="E86" s="31" t="str">
        <f aca="false">IF(Eingaben!$B$22="","",MIN(D86,MAX(0,IF(Eingaben!$S$22="Ja",D86*Eingaben!$T$22,Eingaben!$AD$22*Eingaben!$Q$22))))</f>
        <v/>
      </c>
      <c r="F86" s="31" t="str">
        <f aca="false">IF(Eingaben!$B$22="","",MIN(MAX(0,IF(AND(Eingaben!$U$22="Ja",2&lt;=Eingaben!$W$22),Eingaben!$AD$22*Eingaben!$V$22,0)),MAX(0,D86-E86)))</f>
        <v/>
      </c>
      <c r="G86" s="31" t="str">
        <f aca="false">IF(Eingaben!$B$22="","",E86+F86)</f>
        <v/>
      </c>
      <c r="H86" s="31" t="str">
        <f aca="false">IF(Eingaben!$B$22="","",D86-G86)</f>
        <v/>
      </c>
      <c r="I86" s="31" t="str">
        <f aca="false">IF(Eingaben!$B$22="","",Cashflow!E86-Cashflow!G86-G86)</f>
        <v/>
      </c>
      <c r="J86" s="31" t="str">
        <f aca="false">IF(Eingaben!$B$22="","",IF(Eingaben!$D$6="Ja",2*MAX(0,O86),MAX(0,O86)))</f>
        <v/>
      </c>
      <c r="K86" s="31" t="str">
        <f aca="false">IF(Eingaben!$B$22="","",IF(Eingaben!$D$6="Ja",2*MAX(0,Q86),MAX(0,Q86)))</f>
        <v/>
      </c>
      <c r="L86" s="40" t="str">
        <f aca="false">IF(Eingaben!$B$22="","",IF(Eingaben!$D$5&gt;0,J86-K86,-I86*Eingaben!$D$9))</f>
        <v/>
      </c>
      <c r="N86" s="8" t="str">
        <f aca="false">IF(Eingaben!$B$22="","",IF(Eingaben!$D$6="Ja",Eingaben!$F$6/2,Eingaben!$F$6))</f>
        <v/>
      </c>
      <c r="O86" s="8" t="str">
        <f aca="false">IF(Eingaben!$B$22="","",IF(N86&lt;=12348,0,IF(N86&lt;=17799,(914.51*((N86-12348)/10000)+1400)*((N86-12348)/10000),IF(N86&lt;=69878,(181.19*((N86-17799)/10000)+2397)*((N86-17799)/10000)+1025.38,IF(N86&lt;=277825,0.42*N86-10637.32,0.45*N86-18971.07)))))</f>
        <v/>
      </c>
      <c r="P86" s="8" t="str">
        <f aca="false">IF(Eingaben!$B$22="","",IF(Eingaben!$D$6="Ja",MAX(0,Eingaben!$F$6+I86)/2,MAX(0,Eingaben!$F$6+I86)))</f>
        <v/>
      </c>
      <c r="Q86" s="8" t="str">
        <f aca="false">IF(Eingaben!$B$22="","",IF(P86&lt;=12348,0,IF(P86&lt;=17799,(914.51*((P86-12348)/10000)+1400)*((P86-12348)/10000),IF(P86&lt;=69878,(181.19*((P86-17799)/10000)+2397)*((P86-17799)/10000)+1025.38,IF(P86&lt;=277825,0.42*P86-10637.32,0.45*P86-18971.07)))))</f>
        <v/>
      </c>
    </row>
    <row r="87" customFormat="false" ht="15" hidden="false" customHeight="false" outlineLevel="0" collapsed="false">
      <c r="A87" s="28" t="n">
        <v>9</v>
      </c>
      <c r="B87" s="29" t="str">
        <f aca="false">IF(Eingaben!$B$22="","",Cashflow!B87)</f>
        <v/>
      </c>
      <c r="C87" s="28" t="n">
        <v>3</v>
      </c>
      <c r="D87" s="31" t="str">
        <f aca="false">IF(Eingaben!$B$22="","",H86)</f>
        <v/>
      </c>
      <c r="E87" s="31" t="str">
        <f aca="false">IF(Eingaben!$B$22="","",MIN(D87,MAX(0,IF(Eingaben!$S$22="Ja",D87*Eingaben!$T$22,Eingaben!$AD$22*Eingaben!$Q$22))))</f>
        <v/>
      </c>
      <c r="F87" s="31" t="str">
        <f aca="false">IF(Eingaben!$B$22="","",MIN(MAX(0,IF(AND(Eingaben!$U$22="Ja",3&lt;=Eingaben!$W$22),Eingaben!$AD$22*Eingaben!$V$22,0)),MAX(0,D87-E87)))</f>
        <v/>
      </c>
      <c r="G87" s="31" t="str">
        <f aca="false">IF(Eingaben!$B$22="","",E87+F87)</f>
        <v/>
      </c>
      <c r="H87" s="31" t="str">
        <f aca="false">IF(Eingaben!$B$22="","",D87-G87)</f>
        <v/>
      </c>
      <c r="I87" s="31" t="str">
        <f aca="false">IF(Eingaben!$B$22="","",Cashflow!E87-Cashflow!G87-G87)</f>
        <v/>
      </c>
      <c r="J87" s="31" t="str">
        <f aca="false">IF(Eingaben!$B$22="","",IF(Eingaben!$D$6="Ja",2*MAX(0,O87),MAX(0,O87)))</f>
        <v/>
      </c>
      <c r="K87" s="31" t="str">
        <f aca="false">IF(Eingaben!$B$22="","",IF(Eingaben!$D$6="Ja",2*MAX(0,Q87),MAX(0,Q87)))</f>
        <v/>
      </c>
      <c r="L87" s="40" t="str">
        <f aca="false">IF(Eingaben!$B$22="","",IF(Eingaben!$D$5&gt;0,J87-K87,-I87*Eingaben!$D$9))</f>
        <v/>
      </c>
      <c r="N87" s="8" t="str">
        <f aca="false">IF(Eingaben!$B$22="","",IF(Eingaben!$D$6="Ja",Eingaben!$F$6/2,Eingaben!$F$6))</f>
        <v/>
      </c>
      <c r="O87" s="8" t="str">
        <f aca="false">IF(Eingaben!$B$22="","",IF(N87&lt;=12348,0,IF(N87&lt;=17799,(914.51*((N87-12348)/10000)+1400)*((N87-12348)/10000),IF(N87&lt;=69878,(181.19*((N87-17799)/10000)+2397)*((N87-17799)/10000)+1025.38,IF(N87&lt;=277825,0.42*N87-10637.32,0.45*N87-18971.07)))))</f>
        <v/>
      </c>
      <c r="P87" s="8" t="str">
        <f aca="false">IF(Eingaben!$B$22="","",IF(Eingaben!$D$6="Ja",MAX(0,Eingaben!$F$6+I87)/2,MAX(0,Eingaben!$F$6+I87)))</f>
        <v/>
      </c>
      <c r="Q87" s="8" t="str">
        <f aca="false">IF(Eingaben!$B$22="","",IF(P87&lt;=12348,0,IF(P87&lt;=17799,(914.51*((P87-12348)/10000)+1400)*((P87-12348)/10000),IF(P87&lt;=69878,(181.19*((P87-17799)/10000)+2397)*((P87-17799)/10000)+1025.38,IF(P87&lt;=277825,0.42*P87-10637.32,0.45*P87-18971.07)))))</f>
        <v/>
      </c>
    </row>
    <row r="88" customFormat="false" ht="15" hidden="false" customHeight="false" outlineLevel="0" collapsed="false">
      <c r="A88" s="28" t="n">
        <v>9</v>
      </c>
      <c r="B88" s="29" t="str">
        <f aca="false">IF(Eingaben!$B$22="","",Cashflow!B88)</f>
        <v/>
      </c>
      <c r="C88" s="28" t="n">
        <v>4</v>
      </c>
      <c r="D88" s="31" t="str">
        <f aca="false">IF(Eingaben!$B$22="","",H87)</f>
        <v/>
      </c>
      <c r="E88" s="31" t="str">
        <f aca="false">IF(Eingaben!$B$22="","",MIN(D88,MAX(0,IF(Eingaben!$S$22="Ja",D88*Eingaben!$T$22,Eingaben!$AD$22*Eingaben!$Q$22))))</f>
        <v/>
      </c>
      <c r="F88" s="31" t="str">
        <f aca="false">IF(Eingaben!$B$22="","",MIN(MAX(0,IF(AND(Eingaben!$U$22="Ja",4&lt;=Eingaben!$W$22),Eingaben!$AD$22*Eingaben!$V$22,0)),MAX(0,D88-E88)))</f>
        <v/>
      </c>
      <c r="G88" s="31" t="str">
        <f aca="false">IF(Eingaben!$B$22="","",E88+F88)</f>
        <v/>
      </c>
      <c r="H88" s="31" t="str">
        <f aca="false">IF(Eingaben!$B$22="","",D88-G88)</f>
        <v/>
      </c>
      <c r="I88" s="31" t="str">
        <f aca="false">IF(Eingaben!$B$22="","",Cashflow!E88-Cashflow!G88-G88)</f>
        <v/>
      </c>
      <c r="J88" s="31" t="str">
        <f aca="false">IF(Eingaben!$B$22="","",IF(Eingaben!$D$6="Ja",2*MAX(0,O88),MAX(0,O88)))</f>
        <v/>
      </c>
      <c r="K88" s="31" t="str">
        <f aca="false">IF(Eingaben!$B$22="","",IF(Eingaben!$D$6="Ja",2*MAX(0,Q88),MAX(0,Q88)))</f>
        <v/>
      </c>
      <c r="L88" s="40" t="str">
        <f aca="false">IF(Eingaben!$B$22="","",IF(Eingaben!$D$5&gt;0,J88-K88,-I88*Eingaben!$D$9))</f>
        <v/>
      </c>
      <c r="N88" s="8" t="str">
        <f aca="false">IF(Eingaben!$B$22="","",IF(Eingaben!$D$6="Ja",Eingaben!$F$6/2,Eingaben!$F$6))</f>
        <v/>
      </c>
      <c r="O88" s="8" t="str">
        <f aca="false">IF(Eingaben!$B$22="","",IF(N88&lt;=12348,0,IF(N88&lt;=17799,(914.51*((N88-12348)/10000)+1400)*((N88-12348)/10000),IF(N88&lt;=69878,(181.19*((N88-17799)/10000)+2397)*((N88-17799)/10000)+1025.38,IF(N88&lt;=277825,0.42*N88-10637.32,0.45*N88-18971.07)))))</f>
        <v/>
      </c>
      <c r="P88" s="8" t="str">
        <f aca="false">IF(Eingaben!$B$22="","",IF(Eingaben!$D$6="Ja",MAX(0,Eingaben!$F$6+I88)/2,MAX(0,Eingaben!$F$6+I88)))</f>
        <v/>
      </c>
      <c r="Q88" s="8" t="str">
        <f aca="false">IF(Eingaben!$B$22="","",IF(P88&lt;=12348,0,IF(P88&lt;=17799,(914.51*((P88-12348)/10000)+1400)*((P88-12348)/10000),IF(P88&lt;=69878,(181.19*((P88-17799)/10000)+2397)*((P88-17799)/10000)+1025.38,IF(P88&lt;=277825,0.42*P88-10637.32,0.45*P88-18971.07)))))</f>
        <v/>
      </c>
    </row>
    <row r="89" customFormat="false" ht="15" hidden="false" customHeight="false" outlineLevel="0" collapsed="false">
      <c r="A89" s="28" t="n">
        <v>9</v>
      </c>
      <c r="B89" s="29" t="str">
        <f aca="false">IF(Eingaben!$B$22="","",Cashflow!B89)</f>
        <v/>
      </c>
      <c r="C89" s="28" t="n">
        <v>5</v>
      </c>
      <c r="D89" s="31" t="str">
        <f aca="false">IF(Eingaben!$B$22="","",H88)</f>
        <v/>
      </c>
      <c r="E89" s="31" t="str">
        <f aca="false">IF(Eingaben!$B$22="","",MIN(D89,MAX(0,IF(Eingaben!$S$22="Ja",D89*Eingaben!$T$22,Eingaben!$AD$22*Eingaben!$Q$22))))</f>
        <v/>
      </c>
      <c r="F89" s="31" t="str">
        <f aca="false">IF(Eingaben!$B$22="","",MIN(MAX(0,IF(AND(Eingaben!$U$22="Ja",5&lt;=Eingaben!$W$22),Eingaben!$AD$22*Eingaben!$V$22,0)),MAX(0,D89-E89)))</f>
        <v/>
      </c>
      <c r="G89" s="31" t="str">
        <f aca="false">IF(Eingaben!$B$22="","",E89+F89)</f>
        <v/>
      </c>
      <c r="H89" s="31" t="str">
        <f aca="false">IF(Eingaben!$B$22="","",D89-G89)</f>
        <v/>
      </c>
      <c r="I89" s="31" t="str">
        <f aca="false">IF(Eingaben!$B$22="","",Cashflow!E89-Cashflow!G89-G89)</f>
        <v/>
      </c>
      <c r="J89" s="31" t="str">
        <f aca="false">IF(Eingaben!$B$22="","",IF(Eingaben!$D$6="Ja",2*MAX(0,O89),MAX(0,O89)))</f>
        <v/>
      </c>
      <c r="K89" s="31" t="str">
        <f aca="false">IF(Eingaben!$B$22="","",IF(Eingaben!$D$6="Ja",2*MAX(0,Q89),MAX(0,Q89)))</f>
        <v/>
      </c>
      <c r="L89" s="40" t="str">
        <f aca="false">IF(Eingaben!$B$22="","",IF(Eingaben!$D$5&gt;0,J89-K89,-I89*Eingaben!$D$9))</f>
        <v/>
      </c>
      <c r="N89" s="8" t="str">
        <f aca="false">IF(Eingaben!$B$22="","",IF(Eingaben!$D$6="Ja",Eingaben!$F$6/2,Eingaben!$F$6))</f>
        <v/>
      </c>
      <c r="O89" s="8" t="str">
        <f aca="false">IF(Eingaben!$B$22="","",IF(N89&lt;=12348,0,IF(N89&lt;=17799,(914.51*((N89-12348)/10000)+1400)*((N89-12348)/10000),IF(N89&lt;=69878,(181.19*((N89-17799)/10000)+2397)*((N89-17799)/10000)+1025.38,IF(N89&lt;=277825,0.42*N89-10637.32,0.45*N89-18971.07)))))</f>
        <v/>
      </c>
      <c r="P89" s="8" t="str">
        <f aca="false">IF(Eingaben!$B$22="","",IF(Eingaben!$D$6="Ja",MAX(0,Eingaben!$F$6+I89)/2,MAX(0,Eingaben!$F$6+I89)))</f>
        <v/>
      </c>
      <c r="Q89" s="8" t="str">
        <f aca="false">IF(Eingaben!$B$22="","",IF(P89&lt;=12348,0,IF(P89&lt;=17799,(914.51*((P89-12348)/10000)+1400)*((P89-12348)/10000),IF(P89&lt;=69878,(181.19*((P89-17799)/10000)+2397)*((P89-17799)/10000)+1025.38,IF(P89&lt;=277825,0.42*P89-10637.32,0.45*P89-18971.07)))))</f>
        <v/>
      </c>
    </row>
    <row r="90" customFormat="false" ht="15" hidden="false" customHeight="false" outlineLevel="0" collapsed="false">
      <c r="A90" s="28" t="n">
        <v>9</v>
      </c>
      <c r="B90" s="29" t="str">
        <f aca="false">IF(Eingaben!$B$22="","",Cashflow!B90)</f>
        <v/>
      </c>
      <c r="C90" s="28" t="n">
        <v>6</v>
      </c>
      <c r="D90" s="31" t="str">
        <f aca="false">IF(Eingaben!$B$22="","",H89)</f>
        <v/>
      </c>
      <c r="E90" s="31" t="str">
        <f aca="false">IF(Eingaben!$B$22="","",MIN(D90,MAX(0,IF(Eingaben!$S$22="Ja",D90*Eingaben!$T$22,Eingaben!$AD$22*Eingaben!$Q$22))))</f>
        <v/>
      </c>
      <c r="F90" s="31" t="str">
        <f aca="false">IF(Eingaben!$B$22="","",MIN(MAX(0,IF(AND(Eingaben!$U$22="Ja",6&lt;=Eingaben!$W$22),Eingaben!$AD$22*Eingaben!$V$22,0)),MAX(0,D90-E90)))</f>
        <v/>
      </c>
      <c r="G90" s="31" t="str">
        <f aca="false">IF(Eingaben!$B$22="","",E90+F90)</f>
        <v/>
      </c>
      <c r="H90" s="31" t="str">
        <f aca="false">IF(Eingaben!$B$22="","",D90-G90)</f>
        <v/>
      </c>
      <c r="I90" s="31" t="str">
        <f aca="false">IF(Eingaben!$B$22="","",Cashflow!E90-Cashflow!G90-G90)</f>
        <v/>
      </c>
      <c r="J90" s="31" t="str">
        <f aca="false">IF(Eingaben!$B$22="","",IF(Eingaben!$D$6="Ja",2*MAX(0,O90),MAX(0,O90)))</f>
        <v/>
      </c>
      <c r="K90" s="31" t="str">
        <f aca="false">IF(Eingaben!$B$22="","",IF(Eingaben!$D$6="Ja",2*MAX(0,Q90),MAX(0,Q90)))</f>
        <v/>
      </c>
      <c r="L90" s="40" t="str">
        <f aca="false">IF(Eingaben!$B$22="","",IF(Eingaben!$D$5&gt;0,J90-K90,-I90*Eingaben!$D$9))</f>
        <v/>
      </c>
      <c r="N90" s="8" t="str">
        <f aca="false">IF(Eingaben!$B$22="","",IF(Eingaben!$D$6="Ja",Eingaben!$F$6/2,Eingaben!$F$6))</f>
        <v/>
      </c>
      <c r="O90" s="8" t="str">
        <f aca="false">IF(Eingaben!$B$22="","",IF(N90&lt;=12348,0,IF(N90&lt;=17799,(914.51*((N90-12348)/10000)+1400)*((N90-12348)/10000),IF(N90&lt;=69878,(181.19*((N90-17799)/10000)+2397)*((N90-17799)/10000)+1025.38,IF(N90&lt;=277825,0.42*N90-10637.32,0.45*N90-18971.07)))))</f>
        <v/>
      </c>
      <c r="P90" s="8" t="str">
        <f aca="false">IF(Eingaben!$B$22="","",IF(Eingaben!$D$6="Ja",MAX(0,Eingaben!$F$6+I90)/2,MAX(0,Eingaben!$F$6+I90)))</f>
        <v/>
      </c>
      <c r="Q90" s="8" t="str">
        <f aca="false">IF(Eingaben!$B$22="","",IF(P90&lt;=12348,0,IF(P90&lt;=17799,(914.51*((P90-12348)/10000)+1400)*((P90-12348)/10000),IF(P90&lt;=69878,(181.19*((P90-17799)/10000)+2397)*((P90-17799)/10000)+1025.38,IF(P90&lt;=277825,0.42*P90-10637.32,0.45*P90-18971.07)))))</f>
        <v/>
      </c>
    </row>
    <row r="91" customFormat="false" ht="15" hidden="false" customHeight="false" outlineLevel="0" collapsed="false">
      <c r="A91" s="28" t="n">
        <v>9</v>
      </c>
      <c r="B91" s="29" t="str">
        <f aca="false">IF(Eingaben!$B$22="","",Cashflow!B91)</f>
        <v/>
      </c>
      <c r="C91" s="28" t="n">
        <v>7</v>
      </c>
      <c r="D91" s="31" t="str">
        <f aca="false">IF(Eingaben!$B$22="","",H90)</f>
        <v/>
      </c>
      <c r="E91" s="31" t="str">
        <f aca="false">IF(Eingaben!$B$22="","",MIN(D91,MAX(0,IF(Eingaben!$S$22="Ja",D91*Eingaben!$T$22,Eingaben!$AD$22*Eingaben!$Q$22))))</f>
        <v/>
      </c>
      <c r="F91" s="31" t="str">
        <f aca="false">IF(Eingaben!$B$22="","",MIN(MAX(0,IF(AND(Eingaben!$U$22="Ja",7&lt;=Eingaben!$W$22),Eingaben!$AD$22*Eingaben!$V$22,0)),MAX(0,D91-E91)))</f>
        <v/>
      </c>
      <c r="G91" s="31" t="str">
        <f aca="false">IF(Eingaben!$B$22="","",E91+F91)</f>
        <v/>
      </c>
      <c r="H91" s="31" t="str">
        <f aca="false">IF(Eingaben!$B$22="","",D91-G91)</f>
        <v/>
      </c>
      <c r="I91" s="31" t="str">
        <f aca="false">IF(Eingaben!$B$22="","",Cashflow!E91-Cashflow!G91-G91)</f>
        <v/>
      </c>
      <c r="J91" s="31" t="str">
        <f aca="false">IF(Eingaben!$B$22="","",IF(Eingaben!$D$6="Ja",2*MAX(0,O91),MAX(0,O91)))</f>
        <v/>
      </c>
      <c r="K91" s="31" t="str">
        <f aca="false">IF(Eingaben!$B$22="","",IF(Eingaben!$D$6="Ja",2*MAX(0,Q91),MAX(0,Q91)))</f>
        <v/>
      </c>
      <c r="L91" s="40" t="str">
        <f aca="false">IF(Eingaben!$B$22="","",IF(Eingaben!$D$5&gt;0,J91-K91,-I91*Eingaben!$D$9))</f>
        <v/>
      </c>
      <c r="N91" s="8" t="str">
        <f aca="false">IF(Eingaben!$B$22="","",IF(Eingaben!$D$6="Ja",Eingaben!$F$6/2,Eingaben!$F$6))</f>
        <v/>
      </c>
      <c r="O91" s="8" t="str">
        <f aca="false">IF(Eingaben!$B$22="","",IF(N91&lt;=12348,0,IF(N91&lt;=17799,(914.51*((N91-12348)/10000)+1400)*((N91-12348)/10000),IF(N91&lt;=69878,(181.19*((N91-17799)/10000)+2397)*((N91-17799)/10000)+1025.38,IF(N91&lt;=277825,0.42*N91-10637.32,0.45*N91-18971.07)))))</f>
        <v/>
      </c>
      <c r="P91" s="8" t="str">
        <f aca="false">IF(Eingaben!$B$22="","",IF(Eingaben!$D$6="Ja",MAX(0,Eingaben!$F$6+I91)/2,MAX(0,Eingaben!$F$6+I91)))</f>
        <v/>
      </c>
      <c r="Q91" s="8" t="str">
        <f aca="false">IF(Eingaben!$B$22="","",IF(P91&lt;=12348,0,IF(P91&lt;=17799,(914.51*((P91-12348)/10000)+1400)*((P91-12348)/10000),IF(P91&lt;=69878,(181.19*((P91-17799)/10000)+2397)*((P91-17799)/10000)+1025.38,IF(P91&lt;=277825,0.42*P91-10637.32,0.45*P91-18971.07)))))</f>
        <v/>
      </c>
    </row>
    <row r="92" customFormat="false" ht="15" hidden="false" customHeight="false" outlineLevel="0" collapsed="false">
      <c r="A92" s="28" t="n">
        <v>9</v>
      </c>
      <c r="B92" s="29" t="str">
        <f aca="false">IF(Eingaben!$B$22="","",Cashflow!B92)</f>
        <v/>
      </c>
      <c r="C92" s="28" t="n">
        <v>8</v>
      </c>
      <c r="D92" s="31" t="str">
        <f aca="false">IF(Eingaben!$B$22="","",H91)</f>
        <v/>
      </c>
      <c r="E92" s="31" t="str">
        <f aca="false">IF(Eingaben!$B$22="","",MIN(D92,MAX(0,IF(Eingaben!$S$22="Ja",D92*Eingaben!$T$22,Eingaben!$AD$22*Eingaben!$Q$22))))</f>
        <v/>
      </c>
      <c r="F92" s="31" t="str">
        <f aca="false">IF(Eingaben!$B$22="","",MIN(MAX(0,IF(AND(Eingaben!$U$22="Ja",8&lt;=Eingaben!$W$22),Eingaben!$AD$22*Eingaben!$V$22,0)),MAX(0,D92-E92)))</f>
        <v/>
      </c>
      <c r="G92" s="31" t="str">
        <f aca="false">IF(Eingaben!$B$22="","",E92+F92)</f>
        <v/>
      </c>
      <c r="H92" s="31" t="str">
        <f aca="false">IF(Eingaben!$B$22="","",D92-G92)</f>
        <v/>
      </c>
      <c r="I92" s="31" t="str">
        <f aca="false">IF(Eingaben!$B$22="","",Cashflow!E92-Cashflow!G92-G92)</f>
        <v/>
      </c>
      <c r="J92" s="31" t="str">
        <f aca="false">IF(Eingaben!$B$22="","",IF(Eingaben!$D$6="Ja",2*MAX(0,O92),MAX(0,O92)))</f>
        <v/>
      </c>
      <c r="K92" s="31" t="str">
        <f aca="false">IF(Eingaben!$B$22="","",IF(Eingaben!$D$6="Ja",2*MAX(0,Q92),MAX(0,Q92)))</f>
        <v/>
      </c>
      <c r="L92" s="40" t="str">
        <f aca="false">IF(Eingaben!$B$22="","",IF(Eingaben!$D$5&gt;0,J92-K92,-I92*Eingaben!$D$9))</f>
        <v/>
      </c>
      <c r="N92" s="8" t="str">
        <f aca="false">IF(Eingaben!$B$22="","",IF(Eingaben!$D$6="Ja",Eingaben!$F$6/2,Eingaben!$F$6))</f>
        <v/>
      </c>
      <c r="O92" s="8" t="str">
        <f aca="false">IF(Eingaben!$B$22="","",IF(N92&lt;=12348,0,IF(N92&lt;=17799,(914.51*((N92-12348)/10000)+1400)*((N92-12348)/10000),IF(N92&lt;=69878,(181.19*((N92-17799)/10000)+2397)*((N92-17799)/10000)+1025.38,IF(N92&lt;=277825,0.42*N92-10637.32,0.45*N92-18971.07)))))</f>
        <v/>
      </c>
      <c r="P92" s="8" t="str">
        <f aca="false">IF(Eingaben!$B$22="","",IF(Eingaben!$D$6="Ja",MAX(0,Eingaben!$F$6+I92)/2,MAX(0,Eingaben!$F$6+I92)))</f>
        <v/>
      </c>
      <c r="Q92" s="8" t="str">
        <f aca="false">IF(Eingaben!$B$22="","",IF(P92&lt;=12348,0,IF(P92&lt;=17799,(914.51*((P92-12348)/10000)+1400)*((P92-12348)/10000),IF(P92&lt;=69878,(181.19*((P92-17799)/10000)+2397)*((P92-17799)/10000)+1025.38,IF(P92&lt;=277825,0.42*P92-10637.32,0.45*P92-18971.07)))))</f>
        <v/>
      </c>
    </row>
    <row r="93" customFormat="false" ht="15" hidden="false" customHeight="false" outlineLevel="0" collapsed="false">
      <c r="A93" s="28" t="n">
        <v>9</v>
      </c>
      <c r="B93" s="29" t="str">
        <f aca="false">IF(Eingaben!$B$22="","",Cashflow!B93)</f>
        <v/>
      </c>
      <c r="C93" s="28" t="n">
        <v>9</v>
      </c>
      <c r="D93" s="31" t="str">
        <f aca="false">IF(Eingaben!$B$22="","",H92)</f>
        <v/>
      </c>
      <c r="E93" s="31" t="str">
        <f aca="false">IF(Eingaben!$B$22="","",MIN(D93,MAX(0,IF(Eingaben!$S$22="Ja",D93*Eingaben!$T$22,Eingaben!$AD$22*Eingaben!$Q$22))))</f>
        <v/>
      </c>
      <c r="F93" s="31" t="str">
        <f aca="false">IF(Eingaben!$B$22="","",MIN(MAX(0,IF(AND(Eingaben!$U$22="Ja",9&lt;=Eingaben!$W$22),Eingaben!$AD$22*Eingaben!$V$22,0)),MAX(0,D93-E93)))</f>
        <v/>
      </c>
      <c r="G93" s="31" t="str">
        <f aca="false">IF(Eingaben!$B$22="","",E93+F93)</f>
        <v/>
      </c>
      <c r="H93" s="31" t="str">
        <f aca="false">IF(Eingaben!$B$22="","",D93-G93)</f>
        <v/>
      </c>
      <c r="I93" s="31" t="str">
        <f aca="false">IF(Eingaben!$B$22="","",Cashflow!E93-Cashflow!G93-G93)</f>
        <v/>
      </c>
      <c r="J93" s="31" t="str">
        <f aca="false">IF(Eingaben!$B$22="","",IF(Eingaben!$D$6="Ja",2*MAX(0,O93),MAX(0,O93)))</f>
        <v/>
      </c>
      <c r="K93" s="31" t="str">
        <f aca="false">IF(Eingaben!$B$22="","",IF(Eingaben!$D$6="Ja",2*MAX(0,Q93),MAX(0,Q93)))</f>
        <v/>
      </c>
      <c r="L93" s="40" t="str">
        <f aca="false">IF(Eingaben!$B$22="","",IF(Eingaben!$D$5&gt;0,J93-K93,-I93*Eingaben!$D$9))</f>
        <v/>
      </c>
      <c r="N93" s="8" t="str">
        <f aca="false">IF(Eingaben!$B$22="","",IF(Eingaben!$D$6="Ja",Eingaben!$F$6/2,Eingaben!$F$6))</f>
        <v/>
      </c>
      <c r="O93" s="8" t="str">
        <f aca="false">IF(Eingaben!$B$22="","",IF(N93&lt;=12348,0,IF(N93&lt;=17799,(914.51*((N93-12348)/10000)+1400)*((N93-12348)/10000),IF(N93&lt;=69878,(181.19*((N93-17799)/10000)+2397)*((N93-17799)/10000)+1025.38,IF(N93&lt;=277825,0.42*N93-10637.32,0.45*N93-18971.07)))))</f>
        <v/>
      </c>
      <c r="P93" s="8" t="str">
        <f aca="false">IF(Eingaben!$B$22="","",IF(Eingaben!$D$6="Ja",MAX(0,Eingaben!$F$6+I93)/2,MAX(0,Eingaben!$F$6+I93)))</f>
        <v/>
      </c>
      <c r="Q93" s="8" t="str">
        <f aca="false">IF(Eingaben!$B$22="","",IF(P93&lt;=12348,0,IF(P93&lt;=17799,(914.51*((P93-12348)/10000)+1400)*((P93-12348)/10000),IF(P93&lt;=69878,(181.19*((P93-17799)/10000)+2397)*((P93-17799)/10000)+1025.38,IF(P93&lt;=277825,0.42*P93-10637.32,0.45*P93-18971.07)))))</f>
        <v/>
      </c>
    </row>
    <row r="94" customFormat="false" ht="15" hidden="false" customHeight="false" outlineLevel="0" collapsed="false">
      <c r="A94" s="28" t="n">
        <v>9</v>
      </c>
      <c r="B94" s="29" t="str">
        <f aca="false">IF(Eingaben!$B$22="","",Cashflow!B94)</f>
        <v/>
      </c>
      <c r="C94" s="28" t="n">
        <v>10</v>
      </c>
      <c r="D94" s="31" t="str">
        <f aca="false">IF(Eingaben!$B$22="","",H93)</f>
        <v/>
      </c>
      <c r="E94" s="31" t="str">
        <f aca="false">IF(Eingaben!$B$22="","",MIN(D94,MAX(0,IF(Eingaben!$S$22="Ja",D94*Eingaben!$T$22,Eingaben!$AD$22*Eingaben!$Q$22))))</f>
        <v/>
      </c>
      <c r="F94" s="31" t="str">
        <f aca="false">IF(Eingaben!$B$22="","",MIN(MAX(0,IF(AND(Eingaben!$U$22="Ja",10&lt;=Eingaben!$W$22),Eingaben!$AD$22*Eingaben!$V$22,0)),MAX(0,D94-E94)))</f>
        <v/>
      </c>
      <c r="G94" s="31" t="str">
        <f aca="false">IF(Eingaben!$B$22="","",E94+F94)</f>
        <v/>
      </c>
      <c r="H94" s="31" t="str">
        <f aca="false">IF(Eingaben!$B$22="","",D94-G94)</f>
        <v/>
      </c>
      <c r="I94" s="31" t="str">
        <f aca="false">IF(Eingaben!$B$22="","",Cashflow!E94-Cashflow!G94-G94)</f>
        <v/>
      </c>
      <c r="J94" s="31" t="str">
        <f aca="false">IF(Eingaben!$B$22="","",IF(Eingaben!$D$6="Ja",2*MAX(0,O94),MAX(0,O94)))</f>
        <v/>
      </c>
      <c r="K94" s="31" t="str">
        <f aca="false">IF(Eingaben!$B$22="","",IF(Eingaben!$D$6="Ja",2*MAX(0,Q94),MAX(0,Q94)))</f>
        <v/>
      </c>
      <c r="L94" s="40" t="str">
        <f aca="false">IF(Eingaben!$B$22="","",IF(Eingaben!$D$5&gt;0,J94-K94,-I94*Eingaben!$D$9))</f>
        <v/>
      </c>
      <c r="N94" s="8" t="str">
        <f aca="false">IF(Eingaben!$B$22="","",IF(Eingaben!$D$6="Ja",Eingaben!$F$6/2,Eingaben!$F$6))</f>
        <v/>
      </c>
      <c r="O94" s="8" t="str">
        <f aca="false">IF(Eingaben!$B$22="","",IF(N94&lt;=12348,0,IF(N94&lt;=17799,(914.51*((N94-12348)/10000)+1400)*((N94-12348)/10000),IF(N94&lt;=69878,(181.19*((N94-17799)/10000)+2397)*((N94-17799)/10000)+1025.38,IF(N94&lt;=277825,0.42*N94-10637.32,0.45*N94-18971.07)))))</f>
        <v/>
      </c>
      <c r="P94" s="8" t="str">
        <f aca="false">IF(Eingaben!$B$22="","",IF(Eingaben!$D$6="Ja",MAX(0,Eingaben!$F$6+I94)/2,MAX(0,Eingaben!$F$6+I94)))</f>
        <v/>
      </c>
      <c r="Q94" s="8" t="str">
        <f aca="false">IF(Eingaben!$B$22="","",IF(P94&lt;=12348,0,IF(P94&lt;=17799,(914.51*((P94-12348)/10000)+1400)*((P94-12348)/10000),IF(P94&lt;=69878,(181.19*((P94-17799)/10000)+2397)*((P94-17799)/10000)+1025.38,IF(P94&lt;=277825,0.42*P94-10637.32,0.45*P94-18971.07)))))</f>
        <v/>
      </c>
    </row>
    <row r="95" customFormat="false" ht="15" hidden="false" customHeight="false" outlineLevel="0" collapsed="false">
      <c r="A95" s="35" t="n">
        <v>10</v>
      </c>
      <c r="B95" s="29" t="str">
        <f aca="false">IF(Eingaben!$B$23="","",Cashflow!B95)</f>
        <v/>
      </c>
      <c r="C95" s="35" t="n">
        <v>1</v>
      </c>
      <c r="D95" s="36" t="str">
        <f aca="false">IF(Eingaben!$B$23="","",Eingaben!$AD$23)</f>
        <v/>
      </c>
      <c r="E95" s="36" t="str">
        <f aca="false">IF(Eingaben!$B$23="","",MIN(D95,MAX(0,IF(Eingaben!$S$23="Ja",D95*Eingaben!$T$23,Eingaben!$AD$23*Eingaben!$Q$23))))</f>
        <v/>
      </c>
      <c r="F95" s="36" t="str">
        <f aca="false">IF(Eingaben!$B$23="","",MIN(MAX(0,IF(AND(Eingaben!$U$23="Ja",1&lt;=Eingaben!$W$23),Eingaben!$AD$23*Eingaben!$V$23,0)),MAX(0,D95-E95)))</f>
        <v/>
      </c>
      <c r="G95" s="36" t="str">
        <f aca="false">IF(Eingaben!$B$23="","",E95+F95)</f>
        <v/>
      </c>
      <c r="H95" s="36" t="str">
        <f aca="false">IF(Eingaben!$B$23="","",D95-G95)</f>
        <v/>
      </c>
      <c r="I95" s="36" t="str">
        <f aca="false">IF(Eingaben!$B$23="","",Cashflow!E95-Cashflow!G95-G95)</f>
        <v/>
      </c>
      <c r="J95" s="36" t="str">
        <f aca="false">IF(Eingaben!$B$23="","",IF(Eingaben!$D$6="Ja",2*MAX(0,O95),MAX(0,O95)))</f>
        <v/>
      </c>
      <c r="K95" s="36" t="str">
        <f aca="false">IF(Eingaben!$B$23="","",IF(Eingaben!$D$6="Ja",2*MAX(0,Q95),MAX(0,Q95)))</f>
        <v/>
      </c>
      <c r="L95" s="42" t="str">
        <f aca="false">IF(Eingaben!$B$23="","",IF(Eingaben!$D$5&gt;0,J95-K95,-I95*Eingaben!$D$9))</f>
        <v/>
      </c>
      <c r="N95" s="8" t="str">
        <f aca="false">IF(Eingaben!$B$23="","",IF(Eingaben!$D$6="Ja",Eingaben!$F$6/2,Eingaben!$F$6))</f>
        <v/>
      </c>
      <c r="O95" s="8" t="str">
        <f aca="false">IF(Eingaben!$B$23="","",IF(N95&lt;=12348,0,IF(N95&lt;=17799,(914.51*((N95-12348)/10000)+1400)*((N95-12348)/10000),IF(N95&lt;=69878,(181.19*((N95-17799)/10000)+2397)*((N95-17799)/10000)+1025.38,IF(N95&lt;=277825,0.42*N95-10637.32,0.45*N95-18971.07)))))</f>
        <v/>
      </c>
      <c r="P95" s="8" t="str">
        <f aca="false">IF(Eingaben!$B$23="","",IF(Eingaben!$D$6="Ja",MAX(0,Eingaben!$F$6+I95)/2,MAX(0,Eingaben!$F$6+I95)))</f>
        <v/>
      </c>
      <c r="Q95" s="8" t="str">
        <f aca="false">IF(Eingaben!$B$23="","",IF(P95&lt;=12348,0,IF(P95&lt;=17799,(914.51*((P95-12348)/10000)+1400)*((P95-12348)/10000),IF(P95&lt;=69878,(181.19*((P95-17799)/10000)+2397)*((P95-17799)/10000)+1025.38,IF(P95&lt;=277825,0.42*P95-10637.32,0.45*P95-18971.07)))))</f>
        <v/>
      </c>
    </row>
    <row r="96" customFormat="false" ht="15" hidden="false" customHeight="false" outlineLevel="0" collapsed="false">
      <c r="A96" s="35" t="n">
        <v>10</v>
      </c>
      <c r="B96" s="29" t="str">
        <f aca="false">IF(Eingaben!$B$23="","",Cashflow!B96)</f>
        <v/>
      </c>
      <c r="C96" s="35" t="n">
        <v>2</v>
      </c>
      <c r="D96" s="36" t="str">
        <f aca="false">IF(Eingaben!$B$23="","",H95)</f>
        <v/>
      </c>
      <c r="E96" s="36" t="str">
        <f aca="false">IF(Eingaben!$B$23="","",MIN(D96,MAX(0,IF(Eingaben!$S$23="Ja",D96*Eingaben!$T$23,Eingaben!$AD$23*Eingaben!$Q$23))))</f>
        <v/>
      </c>
      <c r="F96" s="36" t="str">
        <f aca="false">IF(Eingaben!$B$23="","",MIN(MAX(0,IF(AND(Eingaben!$U$23="Ja",2&lt;=Eingaben!$W$23),Eingaben!$AD$23*Eingaben!$V$23,0)),MAX(0,D96-E96)))</f>
        <v/>
      </c>
      <c r="G96" s="36" t="str">
        <f aca="false">IF(Eingaben!$B$23="","",E96+F96)</f>
        <v/>
      </c>
      <c r="H96" s="36" t="str">
        <f aca="false">IF(Eingaben!$B$23="","",D96-G96)</f>
        <v/>
      </c>
      <c r="I96" s="36" t="str">
        <f aca="false">IF(Eingaben!$B$23="","",Cashflow!E96-Cashflow!G96-G96)</f>
        <v/>
      </c>
      <c r="J96" s="36" t="str">
        <f aca="false">IF(Eingaben!$B$23="","",IF(Eingaben!$D$6="Ja",2*MAX(0,O96),MAX(0,O96)))</f>
        <v/>
      </c>
      <c r="K96" s="36" t="str">
        <f aca="false">IF(Eingaben!$B$23="","",IF(Eingaben!$D$6="Ja",2*MAX(0,Q96),MAX(0,Q96)))</f>
        <v/>
      </c>
      <c r="L96" s="42" t="str">
        <f aca="false">IF(Eingaben!$B$23="","",IF(Eingaben!$D$5&gt;0,J96-K96,-I96*Eingaben!$D$9))</f>
        <v/>
      </c>
      <c r="N96" s="8" t="str">
        <f aca="false">IF(Eingaben!$B$23="","",IF(Eingaben!$D$6="Ja",Eingaben!$F$6/2,Eingaben!$F$6))</f>
        <v/>
      </c>
      <c r="O96" s="8" t="str">
        <f aca="false">IF(Eingaben!$B$23="","",IF(N96&lt;=12348,0,IF(N96&lt;=17799,(914.51*((N96-12348)/10000)+1400)*((N96-12348)/10000),IF(N96&lt;=69878,(181.19*((N96-17799)/10000)+2397)*((N96-17799)/10000)+1025.38,IF(N96&lt;=277825,0.42*N96-10637.32,0.45*N96-18971.07)))))</f>
        <v/>
      </c>
      <c r="P96" s="8" t="str">
        <f aca="false">IF(Eingaben!$B$23="","",IF(Eingaben!$D$6="Ja",MAX(0,Eingaben!$F$6+I96)/2,MAX(0,Eingaben!$F$6+I96)))</f>
        <v/>
      </c>
      <c r="Q96" s="8" t="str">
        <f aca="false">IF(Eingaben!$B$23="","",IF(P96&lt;=12348,0,IF(P96&lt;=17799,(914.51*((P96-12348)/10000)+1400)*((P96-12348)/10000),IF(P96&lt;=69878,(181.19*((P96-17799)/10000)+2397)*((P96-17799)/10000)+1025.38,IF(P96&lt;=277825,0.42*P96-10637.32,0.45*P96-18971.07)))))</f>
        <v/>
      </c>
    </row>
    <row r="97" customFormat="false" ht="15" hidden="false" customHeight="false" outlineLevel="0" collapsed="false">
      <c r="A97" s="35" t="n">
        <v>10</v>
      </c>
      <c r="B97" s="29" t="str">
        <f aca="false">IF(Eingaben!$B$23="","",Cashflow!B97)</f>
        <v/>
      </c>
      <c r="C97" s="35" t="n">
        <v>3</v>
      </c>
      <c r="D97" s="36" t="str">
        <f aca="false">IF(Eingaben!$B$23="","",H96)</f>
        <v/>
      </c>
      <c r="E97" s="36" t="str">
        <f aca="false">IF(Eingaben!$B$23="","",MIN(D97,MAX(0,IF(Eingaben!$S$23="Ja",D97*Eingaben!$T$23,Eingaben!$AD$23*Eingaben!$Q$23))))</f>
        <v/>
      </c>
      <c r="F97" s="36" t="str">
        <f aca="false">IF(Eingaben!$B$23="","",MIN(MAX(0,IF(AND(Eingaben!$U$23="Ja",3&lt;=Eingaben!$W$23),Eingaben!$AD$23*Eingaben!$V$23,0)),MAX(0,D97-E97)))</f>
        <v/>
      </c>
      <c r="G97" s="36" t="str">
        <f aca="false">IF(Eingaben!$B$23="","",E97+F97)</f>
        <v/>
      </c>
      <c r="H97" s="36" t="str">
        <f aca="false">IF(Eingaben!$B$23="","",D97-G97)</f>
        <v/>
      </c>
      <c r="I97" s="36" t="str">
        <f aca="false">IF(Eingaben!$B$23="","",Cashflow!E97-Cashflow!G97-G97)</f>
        <v/>
      </c>
      <c r="J97" s="36" t="str">
        <f aca="false">IF(Eingaben!$B$23="","",IF(Eingaben!$D$6="Ja",2*MAX(0,O97),MAX(0,O97)))</f>
        <v/>
      </c>
      <c r="K97" s="36" t="str">
        <f aca="false">IF(Eingaben!$B$23="","",IF(Eingaben!$D$6="Ja",2*MAX(0,Q97),MAX(0,Q97)))</f>
        <v/>
      </c>
      <c r="L97" s="42" t="str">
        <f aca="false">IF(Eingaben!$B$23="","",IF(Eingaben!$D$5&gt;0,J97-K97,-I97*Eingaben!$D$9))</f>
        <v/>
      </c>
      <c r="N97" s="8" t="str">
        <f aca="false">IF(Eingaben!$B$23="","",IF(Eingaben!$D$6="Ja",Eingaben!$F$6/2,Eingaben!$F$6))</f>
        <v/>
      </c>
      <c r="O97" s="8" t="str">
        <f aca="false">IF(Eingaben!$B$23="","",IF(N97&lt;=12348,0,IF(N97&lt;=17799,(914.51*((N97-12348)/10000)+1400)*((N97-12348)/10000),IF(N97&lt;=69878,(181.19*((N97-17799)/10000)+2397)*((N97-17799)/10000)+1025.38,IF(N97&lt;=277825,0.42*N97-10637.32,0.45*N97-18971.07)))))</f>
        <v/>
      </c>
      <c r="P97" s="8" t="str">
        <f aca="false">IF(Eingaben!$B$23="","",IF(Eingaben!$D$6="Ja",MAX(0,Eingaben!$F$6+I97)/2,MAX(0,Eingaben!$F$6+I97)))</f>
        <v/>
      </c>
      <c r="Q97" s="8" t="str">
        <f aca="false">IF(Eingaben!$B$23="","",IF(P97&lt;=12348,0,IF(P97&lt;=17799,(914.51*((P97-12348)/10000)+1400)*((P97-12348)/10000),IF(P97&lt;=69878,(181.19*((P97-17799)/10000)+2397)*((P97-17799)/10000)+1025.38,IF(P97&lt;=277825,0.42*P97-10637.32,0.45*P97-18971.07)))))</f>
        <v/>
      </c>
    </row>
    <row r="98" customFormat="false" ht="15" hidden="false" customHeight="false" outlineLevel="0" collapsed="false">
      <c r="A98" s="35" t="n">
        <v>10</v>
      </c>
      <c r="B98" s="29" t="str">
        <f aca="false">IF(Eingaben!$B$23="","",Cashflow!B98)</f>
        <v/>
      </c>
      <c r="C98" s="35" t="n">
        <v>4</v>
      </c>
      <c r="D98" s="36" t="str">
        <f aca="false">IF(Eingaben!$B$23="","",H97)</f>
        <v/>
      </c>
      <c r="E98" s="36" t="str">
        <f aca="false">IF(Eingaben!$B$23="","",MIN(D98,MAX(0,IF(Eingaben!$S$23="Ja",D98*Eingaben!$T$23,Eingaben!$AD$23*Eingaben!$Q$23))))</f>
        <v/>
      </c>
      <c r="F98" s="36" t="str">
        <f aca="false">IF(Eingaben!$B$23="","",MIN(MAX(0,IF(AND(Eingaben!$U$23="Ja",4&lt;=Eingaben!$W$23),Eingaben!$AD$23*Eingaben!$V$23,0)),MAX(0,D98-E98)))</f>
        <v/>
      </c>
      <c r="G98" s="36" t="str">
        <f aca="false">IF(Eingaben!$B$23="","",E98+F98)</f>
        <v/>
      </c>
      <c r="H98" s="36" t="str">
        <f aca="false">IF(Eingaben!$B$23="","",D98-G98)</f>
        <v/>
      </c>
      <c r="I98" s="36" t="str">
        <f aca="false">IF(Eingaben!$B$23="","",Cashflow!E98-Cashflow!G98-G98)</f>
        <v/>
      </c>
      <c r="J98" s="36" t="str">
        <f aca="false">IF(Eingaben!$B$23="","",IF(Eingaben!$D$6="Ja",2*MAX(0,O98),MAX(0,O98)))</f>
        <v/>
      </c>
      <c r="K98" s="36" t="str">
        <f aca="false">IF(Eingaben!$B$23="","",IF(Eingaben!$D$6="Ja",2*MAX(0,Q98),MAX(0,Q98)))</f>
        <v/>
      </c>
      <c r="L98" s="42" t="str">
        <f aca="false">IF(Eingaben!$B$23="","",IF(Eingaben!$D$5&gt;0,J98-K98,-I98*Eingaben!$D$9))</f>
        <v/>
      </c>
      <c r="N98" s="8" t="str">
        <f aca="false">IF(Eingaben!$B$23="","",IF(Eingaben!$D$6="Ja",Eingaben!$F$6/2,Eingaben!$F$6))</f>
        <v/>
      </c>
      <c r="O98" s="8" t="str">
        <f aca="false">IF(Eingaben!$B$23="","",IF(N98&lt;=12348,0,IF(N98&lt;=17799,(914.51*((N98-12348)/10000)+1400)*((N98-12348)/10000),IF(N98&lt;=69878,(181.19*((N98-17799)/10000)+2397)*((N98-17799)/10000)+1025.38,IF(N98&lt;=277825,0.42*N98-10637.32,0.45*N98-18971.07)))))</f>
        <v/>
      </c>
      <c r="P98" s="8" t="str">
        <f aca="false">IF(Eingaben!$B$23="","",IF(Eingaben!$D$6="Ja",MAX(0,Eingaben!$F$6+I98)/2,MAX(0,Eingaben!$F$6+I98)))</f>
        <v/>
      </c>
      <c r="Q98" s="8" t="str">
        <f aca="false">IF(Eingaben!$B$23="","",IF(P98&lt;=12348,0,IF(P98&lt;=17799,(914.51*((P98-12348)/10000)+1400)*((P98-12348)/10000),IF(P98&lt;=69878,(181.19*((P98-17799)/10000)+2397)*((P98-17799)/10000)+1025.38,IF(P98&lt;=277825,0.42*P98-10637.32,0.45*P98-18971.07)))))</f>
        <v/>
      </c>
    </row>
    <row r="99" customFormat="false" ht="15" hidden="false" customHeight="false" outlineLevel="0" collapsed="false">
      <c r="A99" s="35" t="n">
        <v>10</v>
      </c>
      <c r="B99" s="29" t="str">
        <f aca="false">IF(Eingaben!$B$23="","",Cashflow!B99)</f>
        <v/>
      </c>
      <c r="C99" s="35" t="n">
        <v>5</v>
      </c>
      <c r="D99" s="36" t="str">
        <f aca="false">IF(Eingaben!$B$23="","",H98)</f>
        <v/>
      </c>
      <c r="E99" s="36" t="str">
        <f aca="false">IF(Eingaben!$B$23="","",MIN(D99,MAX(0,IF(Eingaben!$S$23="Ja",D99*Eingaben!$T$23,Eingaben!$AD$23*Eingaben!$Q$23))))</f>
        <v/>
      </c>
      <c r="F99" s="36" t="str">
        <f aca="false">IF(Eingaben!$B$23="","",MIN(MAX(0,IF(AND(Eingaben!$U$23="Ja",5&lt;=Eingaben!$W$23),Eingaben!$AD$23*Eingaben!$V$23,0)),MAX(0,D99-E99)))</f>
        <v/>
      </c>
      <c r="G99" s="36" t="str">
        <f aca="false">IF(Eingaben!$B$23="","",E99+F99)</f>
        <v/>
      </c>
      <c r="H99" s="36" t="str">
        <f aca="false">IF(Eingaben!$B$23="","",D99-G99)</f>
        <v/>
      </c>
      <c r="I99" s="36" t="str">
        <f aca="false">IF(Eingaben!$B$23="","",Cashflow!E99-Cashflow!G99-G99)</f>
        <v/>
      </c>
      <c r="J99" s="36" t="str">
        <f aca="false">IF(Eingaben!$B$23="","",IF(Eingaben!$D$6="Ja",2*MAX(0,O99),MAX(0,O99)))</f>
        <v/>
      </c>
      <c r="K99" s="36" t="str">
        <f aca="false">IF(Eingaben!$B$23="","",IF(Eingaben!$D$6="Ja",2*MAX(0,Q99),MAX(0,Q99)))</f>
        <v/>
      </c>
      <c r="L99" s="42" t="str">
        <f aca="false">IF(Eingaben!$B$23="","",IF(Eingaben!$D$5&gt;0,J99-K99,-I99*Eingaben!$D$9))</f>
        <v/>
      </c>
      <c r="N99" s="8" t="str">
        <f aca="false">IF(Eingaben!$B$23="","",IF(Eingaben!$D$6="Ja",Eingaben!$F$6/2,Eingaben!$F$6))</f>
        <v/>
      </c>
      <c r="O99" s="8" t="str">
        <f aca="false">IF(Eingaben!$B$23="","",IF(N99&lt;=12348,0,IF(N99&lt;=17799,(914.51*((N99-12348)/10000)+1400)*((N99-12348)/10000),IF(N99&lt;=69878,(181.19*((N99-17799)/10000)+2397)*((N99-17799)/10000)+1025.38,IF(N99&lt;=277825,0.42*N99-10637.32,0.45*N99-18971.07)))))</f>
        <v/>
      </c>
      <c r="P99" s="8" t="str">
        <f aca="false">IF(Eingaben!$B$23="","",IF(Eingaben!$D$6="Ja",MAX(0,Eingaben!$F$6+I99)/2,MAX(0,Eingaben!$F$6+I99)))</f>
        <v/>
      </c>
      <c r="Q99" s="8" t="str">
        <f aca="false">IF(Eingaben!$B$23="","",IF(P99&lt;=12348,0,IF(P99&lt;=17799,(914.51*((P99-12348)/10000)+1400)*((P99-12348)/10000),IF(P99&lt;=69878,(181.19*((P99-17799)/10000)+2397)*((P99-17799)/10000)+1025.38,IF(P99&lt;=277825,0.42*P99-10637.32,0.45*P99-18971.07)))))</f>
        <v/>
      </c>
    </row>
    <row r="100" customFormat="false" ht="15" hidden="false" customHeight="false" outlineLevel="0" collapsed="false">
      <c r="A100" s="35" t="n">
        <v>10</v>
      </c>
      <c r="B100" s="29" t="str">
        <f aca="false">IF(Eingaben!$B$23="","",Cashflow!B100)</f>
        <v/>
      </c>
      <c r="C100" s="35" t="n">
        <v>6</v>
      </c>
      <c r="D100" s="36" t="str">
        <f aca="false">IF(Eingaben!$B$23="","",H99)</f>
        <v/>
      </c>
      <c r="E100" s="36" t="str">
        <f aca="false">IF(Eingaben!$B$23="","",MIN(D100,MAX(0,IF(Eingaben!$S$23="Ja",D100*Eingaben!$T$23,Eingaben!$AD$23*Eingaben!$Q$23))))</f>
        <v/>
      </c>
      <c r="F100" s="36" t="str">
        <f aca="false">IF(Eingaben!$B$23="","",MIN(MAX(0,IF(AND(Eingaben!$U$23="Ja",6&lt;=Eingaben!$W$23),Eingaben!$AD$23*Eingaben!$V$23,0)),MAX(0,D100-E100)))</f>
        <v/>
      </c>
      <c r="G100" s="36" t="str">
        <f aca="false">IF(Eingaben!$B$23="","",E100+F100)</f>
        <v/>
      </c>
      <c r="H100" s="36" t="str">
        <f aca="false">IF(Eingaben!$B$23="","",D100-G100)</f>
        <v/>
      </c>
      <c r="I100" s="36" t="str">
        <f aca="false">IF(Eingaben!$B$23="","",Cashflow!E100-Cashflow!G100-G100)</f>
        <v/>
      </c>
      <c r="J100" s="36" t="str">
        <f aca="false">IF(Eingaben!$B$23="","",IF(Eingaben!$D$6="Ja",2*MAX(0,O100),MAX(0,O100)))</f>
        <v/>
      </c>
      <c r="K100" s="36" t="str">
        <f aca="false">IF(Eingaben!$B$23="","",IF(Eingaben!$D$6="Ja",2*MAX(0,Q100),MAX(0,Q100)))</f>
        <v/>
      </c>
      <c r="L100" s="42" t="str">
        <f aca="false">IF(Eingaben!$B$23="","",IF(Eingaben!$D$5&gt;0,J100-K100,-I100*Eingaben!$D$9))</f>
        <v/>
      </c>
      <c r="N100" s="8" t="str">
        <f aca="false">IF(Eingaben!$B$23="","",IF(Eingaben!$D$6="Ja",Eingaben!$F$6/2,Eingaben!$F$6))</f>
        <v/>
      </c>
      <c r="O100" s="8" t="str">
        <f aca="false">IF(Eingaben!$B$23="","",IF(N100&lt;=12348,0,IF(N100&lt;=17799,(914.51*((N100-12348)/10000)+1400)*((N100-12348)/10000),IF(N100&lt;=69878,(181.19*((N100-17799)/10000)+2397)*((N100-17799)/10000)+1025.38,IF(N100&lt;=277825,0.42*N100-10637.32,0.45*N100-18971.07)))))</f>
        <v/>
      </c>
      <c r="P100" s="8" t="str">
        <f aca="false">IF(Eingaben!$B$23="","",IF(Eingaben!$D$6="Ja",MAX(0,Eingaben!$F$6+I100)/2,MAX(0,Eingaben!$F$6+I100)))</f>
        <v/>
      </c>
      <c r="Q100" s="8" t="str">
        <f aca="false">IF(Eingaben!$B$23="","",IF(P100&lt;=12348,0,IF(P100&lt;=17799,(914.51*((P100-12348)/10000)+1400)*((P100-12348)/10000),IF(P100&lt;=69878,(181.19*((P100-17799)/10000)+2397)*((P100-17799)/10000)+1025.38,IF(P100&lt;=277825,0.42*P100-10637.32,0.45*P100-18971.07)))))</f>
        <v/>
      </c>
    </row>
    <row r="101" customFormat="false" ht="15" hidden="false" customHeight="false" outlineLevel="0" collapsed="false">
      <c r="A101" s="35" t="n">
        <v>10</v>
      </c>
      <c r="B101" s="29" t="str">
        <f aca="false">IF(Eingaben!$B$23="","",Cashflow!B101)</f>
        <v/>
      </c>
      <c r="C101" s="35" t="n">
        <v>7</v>
      </c>
      <c r="D101" s="36" t="str">
        <f aca="false">IF(Eingaben!$B$23="","",H100)</f>
        <v/>
      </c>
      <c r="E101" s="36" t="str">
        <f aca="false">IF(Eingaben!$B$23="","",MIN(D101,MAX(0,IF(Eingaben!$S$23="Ja",D101*Eingaben!$T$23,Eingaben!$AD$23*Eingaben!$Q$23))))</f>
        <v/>
      </c>
      <c r="F101" s="36" t="str">
        <f aca="false">IF(Eingaben!$B$23="","",MIN(MAX(0,IF(AND(Eingaben!$U$23="Ja",7&lt;=Eingaben!$W$23),Eingaben!$AD$23*Eingaben!$V$23,0)),MAX(0,D101-E101)))</f>
        <v/>
      </c>
      <c r="G101" s="36" t="str">
        <f aca="false">IF(Eingaben!$B$23="","",E101+F101)</f>
        <v/>
      </c>
      <c r="H101" s="36" t="str">
        <f aca="false">IF(Eingaben!$B$23="","",D101-G101)</f>
        <v/>
      </c>
      <c r="I101" s="36" t="str">
        <f aca="false">IF(Eingaben!$B$23="","",Cashflow!E101-Cashflow!G101-G101)</f>
        <v/>
      </c>
      <c r="J101" s="36" t="str">
        <f aca="false">IF(Eingaben!$B$23="","",IF(Eingaben!$D$6="Ja",2*MAX(0,O101),MAX(0,O101)))</f>
        <v/>
      </c>
      <c r="K101" s="36" t="str">
        <f aca="false">IF(Eingaben!$B$23="","",IF(Eingaben!$D$6="Ja",2*MAX(0,Q101),MAX(0,Q101)))</f>
        <v/>
      </c>
      <c r="L101" s="42" t="str">
        <f aca="false">IF(Eingaben!$B$23="","",IF(Eingaben!$D$5&gt;0,J101-K101,-I101*Eingaben!$D$9))</f>
        <v/>
      </c>
      <c r="N101" s="8" t="str">
        <f aca="false">IF(Eingaben!$B$23="","",IF(Eingaben!$D$6="Ja",Eingaben!$F$6/2,Eingaben!$F$6))</f>
        <v/>
      </c>
      <c r="O101" s="8" t="str">
        <f aca="false">IF(Eingaben!$B$23="","",IF(N101&lt;=12348,0,IF(N101&lt;=17799,(914.51*((N101-12348)/10000)+1400)*((N101-12348)/10000),IF(N101&lt;=69878,(181.19*((N101-17799)/10000)+2397)*((N101-17799)/10000)+1025.38,IF(N101&lt;=277825,0.42*N101-10637.32,0.45*N101-18971.07)))))</f>
        <v/>
      </c>
      <c r="P101" s="8" t="str">
        <f aca="false">IF(Eingaben!$B$23="","",IF(Eingaben!$D$6="Ja",MAX(0,Eingaben!$F$6+I101)/2,MAX(0,Eingaben!$F$6+I101)))</f>
        <v/>
      </c>
      <c r="Q101" s="8" t="str">
        <f aca="false">IF(Eingaben!$B$23="","",IF(P101&lt;=12348,0,IF(P101&lt;=17799,(914.51*((P101-12348)/10000)+1400)*((P101-12348)/10000),IF(P101&lt;=69878,(181.19*((P101-17799)/10000)+2397)*((P101-17799)/10000)+1025.38,IF(P101&lt;=277825,0.42*P101-10637.32,0.45*P101-18971.07)))))</f>
        <v/>
      </c>
    </row>
    <row r="102" customFormat="false" ht="15" hidden="false" customHeight="false" outlineLevel="0" collapsed="false">
      <c r="A102" s="35" t="n">
        <v>10</v>
      </c>
      <c r="B102" s="29" t="str">
        <f aca="false">IF(Eingaben!$B$23="","",Cashflow!B102)</f>
        <v/>
      </c>
      <c r="C102" s="35" t="n">
        <v>8</v>
      </c>
      <c r="D102" s="36" t="str">
        <f aca="false">IF(Eingaben!$B$23="","",H101)</f>
        <v/>
      </c>
      <c r="E102" s="36" t="str">
        <f aca="false">IF(Eingaben!$B$23="","",MIN(D102,MAX(0,IF(Eingaben!$S$23="Ja",D102*Eingaben!$T$23,Eingaben!$AD$23*Eingaben!$Q$23))))</f>
        <v/>
      </c>
      <c r="F102" s="36" t="str">
        <f aca="false">IF(Eingaben!$B$23="","",MIN(MAX(0,IF(AND(Eingaben!$U$23="Ja",8&lt;=Eingaben!$W$23),Eingaben!$AD$23*Eingaben!$V$23,0)),MAX(0,D102-E102)))</f>
        <v/>
      </c>
      <c r="G102" s="36" t="str">
        <f aca="false">IF(Eingaben!$B$23="","",E102+F102)</f>
        <v/>
      </c>
      <c r="H102" s="36" t="str">
        <f aca="false">IF(Eingaben!$B$23="","",D102-G102)</f>
        <v/>
      </c>
      <c r="I102" s="36" t="str">
        <f aca="false">IF(Eingaben!$B$23="","",Cashflow!E102-Cashflow!G102-G102)</f>
        <v/>
      </c>
      <c r="J102" s="36" t="str">
        <f aca="false">IF(Eingaben!$B$23="","",IF(Eingaben!$D$6="Ja",2*MAX(0,O102),MAX(0,O102)))</f>
        <v/>
      </c>
      <c r="K102" s="36" t="str">
        <f aca="false">IF(Eingaben!$B$23="","",IF(Eingaben!$D$6="Ja",2*MAX(0,Q102),MAX(0,Q102)))</f>
        <v/>
      </c>
      <c r="L102" s="42" t="str">
        <f aca="false">IF(Eingaben!$B$23="","",IF(Eingaben!$D$5&gt;0,J102-K102,-I102*Eingaben!$D$9))</f>
        <v/>
      </c>
      <c r="N102" s="8" t="str">
        <f aca="false">IF(Eingaben!$B$23="","",IF(Eingaben!$D$6="Ja",Eingaben!$F$6/2,Eingaben!$F$6))</f>
        <v/>
      </c>
      <c r="O102" s="8" t="str">
        <f aca="false">IF(Eingaben!$B$23="","",IF(N102&lt;=12348,0,IF(N102&lt;=17799,(914.51*((N102-12348)/10000)+1400)*((N102-12348)/10000),IF(N102&lt;=69878,(181.19*((N102-17799)/10000)+2397)*((N102-17799)/10000)+1025.38,IF(N102&lt;=277825,0.42*N102-10637.32,0.45*N102-18971.07)))))</f>
        <v/>
      </c>
      <c r="P102" s="8" t="str">
        <f aca="false">IF(Eingaben!$B$23="","",IF(Eingaben!$D$6="Ja",MAX(0,Eingaben!$F$6+I102)/2,MAX(0,Eingaben!$F$6+I102)))</f>
        <v/>
      </c>
      <c r="Q102" s="8" t="str">
        <f aca="false">IF(Eingaben!$B$23="","",IF(P102&lt;=12348,0,IF(P102&lt;=17799,(914.51*((P102-12348)/10000)+1400)*((P102-12348)/10000),IF(P102&lt;=69878,(181.19*((P102-17799)/10000)+2397)*((P102-17799)/10000)+1025.38,IF(P102&lt;=277825,0.42*P102-10637.32,0.45*P102-18971.07)))))</f>
        <v/>
      </c>
    </row>
    <row r="103" customFormat="false" ht="15" hidden="false" customHeight="false" outlineLevel="0" collapsed="false">
      <c r="A103" s="35" t="n">
        <v>10</v>
      </c>
      <c r="B103" s="29" t="str">
        <f aca="false">IF(Eingaben!$B$23="","",Cashflow!B103)</f>
        <v/>
      </c>
      <c r="C103" s="35" t="n">
        <v>9</v>
      </c>
      <c r="D103" s="36" t="str">
        <f aca="false">IF(Eingaben!$B$23="","",H102)</f>
        <v/>
      </c>
      <c r="E103" s="36" t="str">
        <f aca="false">IF(Eingaben!$B$23="","",MIN(D103,MAX(0,IF(Eingaben!$S$23="Ja",D103*Eingaben!$T$23,Eingaben!$AD$23*Eingaben!$Q$23))))</f>
        <v/>
      </c>
      <c r="F103" s="36" t="str">
        <f aca="false">IF(Eingaben!$B$23="","",MIN(MAX(0,IF(AND(Eingaben!$U$23="Ja",9&lt;=Eingaben!$W$23),Eingaben!$AD$23*Eingaben!$V$23,0)),MAX(0,D103-E103)))</f>
        <v/>
      </c>
      <c r="G103" s="36" t="str">
        <f aca="false">IF(Eingaben!$B$23="","",E103+F103)</f>
        <v/>
      </c>
      <c r="H103" s="36" t="str">
        <f aca="false">IF(Eingaben!$B$23="","",D103-G103)</f>
        <v/>
      </c>
      <c r="I103" s="36" t="str">
        <f aca="false">IF(Eingaben!$B$23="","",Cashflow!E103-Cashflow!G103-G103)</f>
        <v/>
      </c>
      <c r="J103" s="36" t="str">
        <f aca="false">IF(Eingaben!$B$23="","",IF(Eingaben!$D$6="Ja",2*MAX(0,O103),MAX(0,O103)))</f>
        <v/>
      </c>
      <c r="K103" s="36" t="str">
        <f aca="false">IF(Eingaben!$B$23="","",IF(Eingaben!$D$6="Ja",2*MAX(0,Q103),MAX(0,Q103)))</f>
        <v/>
      </c>
      <c r="L103" s="42" t="str">
        <f aca="false">IF(Eingaben!$B$23="","",IF(Eingaben!$D$5&gt;0,J103-K103,-I103*Eingaben!$D$9))</f>
        <v/>
      </c>
      <c r="N103" s="8" t="str">
        <f aca="false">IF(Eingaben!$B$23="","",IF(Eingaben!$D$6="Ja",Eingaben!$F$6/2,Eingaben!$F$6))</f>
        <v/>
      </c>
      <c r="O103" s="8" t="str">
        <f aca="false">IF(Eingaben!$B$23="","",IF(N103&lt;=12348,0,IF(N103&lt;=17799,(914.51*((N103-12348)/10000)+1400)*((N103-12348)/10000),IF(N103&lt;=69878,(181.19*((N103-17799)/10000)+2397)*((N103-17799)/10000)+1025.38,IF(N103&lt;=277825,0.42*N103-10637.32,0.45*N103-18971.07)))))</f>
        <v/>
      </c>
      <c r="P103" s="8" t="str">
        <f aca="false">IF(Eingaben!$B$23="","",IF(Eingaben!$D$6="Ja",MAX(0,Eingaben!$F$6+I103)/2,MAX(0,Eingaben!$F$6+I103)))</f>
        <v/>
      </c>
      <c r="Q103" s="8" t="str">
        <f aca="false">IF(Eingaben!$B$23="","",IF(P103&lt;=12348,0,IF(P103&lt;=17799,(914.51*((P103-12348)/10000)+1400)*((P103-12348)/10000),IF(P103&lt;=69878,(181.19*((P103-17799)/10000)+2397)*((P103-17799)/10000)+1025.38,IF(P103&lt;=277825,0.42*P103-10637.32,0.45*P103-18971.07)))))</f>
        <v/>
      </c>
    </row>
    <row r="104" customFormat="false" ht="15" hidden="false" customHeight="false" outlineLevel="0" collapsed="false">
      <c r="A104" s="35" t="n">
        <v>10</v>
      </c>
      <c r="B104" s="29" t="str">
        <f aca="false">IF(Eingaben!$B$23="","",Cashflow!B104)</f>
        <v/>
      </c>
      <c r="C104" s="35" t="n">
        <v>10</v>
      </c>
      <c r="D104" s="36" t="str">
        <f aca="false">IF(Eingaben!$B$23="","",H103)</f>
        <v/>
      </c>
      <c r="E104" s="36" t="str">
        <f aca="false">IF(Eingaben!$B$23="","",MIN(D104,MAX(0,IF(Eingaben!$S$23="Ja",D104*Eingaben!$T$23,Eingaben!$AD$23*Eingaben!$Q$23))))</f>
        <v/>
      </c>
      <c r="F104" s="36" t="str">
        <f aca="false">IF(Eingaben!$B$23="","",MIN(MAX(0,IF(AND(Eingaben!$U$23="Ja",10&lt;=Eingaben!$W$23),Eingaben!$AD$23*Eingaben!$V$23,0)),MAX(0,D104-E104)))</f>
        <v/>
      </c>
      <c r="G104" s="36" t="str">
        <f aca="false">IF(Eingaben!$B$23="","",E104+F104)</f>
        <v/>
      </c>
      <c r="H104" s="36" t="str">
        <f aca="false">IF(Eingaben!$B$23="","",D104-G104)</f>
        <v/>
      </c>
      <c r="I104" s="36" t="str">
        <f aca="false">IF(Eingaben!$B$23="","",Cashflow!E104-Cashflow!G104-G104)</f>
        <v/>
      </c>
      <c r="J104" s="36" t="str">
        <f aca="false">IF(Eingaben!$B$23="","",IF(Eingaben!$D$6="Ja",2*MAX(0,O104),MAX(0,O104)))</f>
        <v/>
      </c>
      <c r="K104" s="36" t="str">
        <f aca="false">IF(Eingaben!$B$23="","",IF(Eingaben!$D$6="Ja",2*MAX(0,Q104),MAX(0,Q104)))</f>
        <v/>
      </c>
      <c r="L104" s="42" t="str">
        <f aca="false">IF(Eingaben!$B$23="","",IF(Eingaben!$D$5&gt;0,J104-K104,-I104*Eingaben!$D$9))</f>
        <v/>
      </c>
      <c r="N104" s="8" t="str">
        <f aca="false">IF(Eingaben!$B$23="","",IF(Eingaben!$D$6="Ja",Eingaben!$F$6/2,Eingaben!$F$6))</f>
        <v/>
      </c>
      <c r="O104" s="8" t="str">
        <f aca="false">IF(Eingaben!$B$23="","",IF(N104&lt;=12348,0,IF(N104&lt;=17799,(914.51*((N104-12348)/10000)+1400)*((N104-12348)/10000),IF(N104&lt;=69878,(181.19*((N104-17799)/10000)+2397)*((N104-17799)/10000)+1025.38,IF(N104&lt;=277825,0.42*N104-10637.32,0.45*N104-18971.07)))))</f>
        <v/>
      </c>
      <c r="P104" s="8" t="str">
        <f aca="false">IF(Eingaben!$B$23="","",IF(Eingaben!$D$6="Ja",MAX(0,Eingaben!$F$6+I104)/2,MAX(0,Eingaben!$F$6+I104)))</f>
        <v/>
      </c>
      <c r="Q104" s="8" t="str">
        <f aca="false">IF(Eingaben!$B$23="","",IF(P104&lt;=12348,0,IF(P104&lt;=17799,(914.51*((P104-12348)/10000)+1400)*((P104-12348)/10000),IF(P104&lt;=69878,(181.19*((P104-17799)/10000)+2397)*((P104-17799)/10000)+1025.38,IF(P104&lt;=277825,0.42*P104-10637.32,0.45*P104-18971.07)))))</f>
        <v/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6FA8"/>
    <pageSetUpPr fitToPage="true"/>
  </sheetPr>
  <dimension ref="A1:U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6" min="4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1" max="21" min="11" style="0" width="10"/>
  </cols>
  <sheetData>
    <row r="1" customFormat="false" ht="30" hidden="false" customHeight="true" outlineLevel="0" collapsed="false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104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11" t="s">
        <v>12</v>
      </c>
      <c r="B4" s="11" t="s">
        <v>60</v>
      </c>
      <c r="C4" s="11" t="s">
        <v>105</v>
      </c>
      <c r="D4" s="11" t="s">
        <v>106</v>
      </c>
      <c r="E4" s="11" t="s">
        <v>107</v>
      </c>
      <c r="F4" s="11" t="s">
        <v>108</v>
      </c>
      <c r="G4" s="11" t="s">
        <v>109</v>
      </c>
      <c r="H4" s="11" t="s">
        <v>110</v>
      </c>
      <c r="I4" s="11" t="s">
        <v>111</v>
      </c>
      <c r="J4" s="11" t="s">
        <v>112</v>
      </c>
      <c r="K4" s="12" t="s">
        <v>113</v>
      </c>
      <c r="L4" s="12" t="s">
        <v>114</v>
      </c>
      <c r="M4" s="12" t="s">
        <v>115</v>
      </c>
      <c r="N4" s="12" t="s">
        <v>116</v>
      </c>
      <c r="O4" s="12" t="s">
        <v>117</v>
      </c>
      <c r="P4" s="12" t="s">
        <v>118</v>
      </c>
      <c r="Q4" s="12" t="s">
        <v>119</v>
      </c>
      <c r="R4" s="12" t="s">
        <v>120</v>
      </c>
      <c r="S4" s="12" t="s">
        <v>121</v>
      </c>
      <c r="T4" s="12" t="s">
        <v>122</v>
      </c>
      <c r="U4" s="12" t="s">
        <v>123</v>
      </c>
    </row>
    <row r="5" customFormat="false" ht="15" hidden="false" customHeight="false" outlineLevel="0" collapsed="false">
      <c r="A5" s="28" t="n">
        <v>1</v>
      </c>
      <c r="B5" s="29" t="str">
        <f aca="false">IF(Eingaben!$B$14="","",Eingaben!$B$14)</f>
        <v>Musterwohnung Berlin</v>
      </c>
      <c r="C5" s="43" t="n">
        <v>0</v>
      </c>
      <c r="D5" s="31" t="n">
        <f aca="false">IF(Eingaben!$B$14="","",Eingaben!$F$14*(1+C5)^10)</f>
        <v>248000</v>
      </c>
      <c r="E5" s="30" t="n">
        <f aca="false">IF(Eingaben!$B$14="","",Cashflow!$J$14)</f>
        <v>217245.288161546</v>
      </c>
      <c r="F5" s="31" t="n">
        <f aca="false">IF(Eingaben!$B$14="","",D5-E5)</f>
        <v>30754.7118384541</v>
      </c>
      <c r="G5" s="31" t="n">
        <f aca="false">IF(Eingaben!$B$14="","",Eingaben!$N$14)</f>
        <v>17360</v>
      </c>
      <c r="H5" s="30" t="n">
        <f aca="false">IF(Eingaben!$B$14="","",SUM(Cashflow!$M$5:$M$14))</f>
        <v>-25097.4779931871</v>
      </c>
      <c r="I5" s="40" t="n">
        <f aca="false">IF(Eingaben!$B$14="","",H5+F5-G5)</f>
        <v>-11702.7661547329</v>
      </c>
      <c r="J5" s="44" t="n">
        <f aca="false">IF(Eingaben!$B$14="","",IFERROR(IRR(K5:U5),"n/v"))</f>
        <v>-0.0477568339023537</v>
      </c>
      <c r="K5" s="20" t="n">
        <f aca="false">IF(Eingaben!$B$14="","",-G5)</f>
        <v>-17360</v>
      </c>
      <c r="L5" s="20" t="n">
        <f aca="false">IF(Eingaben!$B$14="","",Cashflow!$M$5)</f>
        <v>-2817.43255097682</v>
      </c>
      <c r="M5" s="20" t="n">
        <f aca="false">IF(Eingaben!$B$14="","",Cashflow!$M$6)</f>
        <v>-2749.84952160865</v>
      </c>
      <c r="N5" s="20" t="n">
        <f aca="false">IF(Eingaben!$B$14="","",Cashflow!$M$7)</f>
        <v>-2681.9029136724</v>
      </c>
      <c r="O5" s="20" t="n">
        <f aca="false">IF(Eingaben!$B$14="","",Cashflow!$M$8)</f>
        <v>-2613.62776329971</v>
      </c>
      <c r="P5" s="20" t="n">
        <f aca="false">IF(Eingaben!$B$14="","",Cashflow!$M$9)</f>
        <v>-2545.0616188764</v>
      </c>
      <c r="Q5" s="20" t="n">
        <f aca="false">IF(Eingaben!$B$14="","",Cashflow!$M$10)</f>
        <v>-2476.24466885372</v>
      </c>
      <c r="R5" s="20" t="n">
        <f aca="false">IF(Eingaben!$B$14="","",Cashflow!$M$11)</f>
        <v>-2407.21987543702</v>
      </c>
      <c r="S5" s="20" t="n">
        <f aca="false">IF(Eingaben!$B$14="","",Cashflow!$M$12)</f>
        <v>-2338.03311441171</v>
      </c>
      <c r="T5" s="20" t="n">
        <f aca="false">IF(Eingaben!$B$14="","",Cashflow!$M$13)</f>
        <v>-2268.73332137741</v>
      </c>
      <c r="U5" s="20" t="n">
        <f aca="false">IF(Eingaben!$B$14="","",Cashflow!$M$14+F5)</f>
        <v>28555.3391937809</v>
      </c>
    </row>
    <row r="6" customFormat="false" ht="15" hidden="false" customHeight="false" outlineLevel="0" collapsed="false">
      <c r="A6" s="28" t="n">
        <v>1</v>
      </c>
      <c r="B6" s="29" t="str">
        <f aca="false">IF(Eingaben!$B$14="","",Eingaben!$B$14)</f>
        <v>Musterwohnung Berlin</v>
      </c>
      <c r="C6" s="43" t="n">
        <v>0.01</v>
      </c>
      <c r="D6" s="31" t="n">
        <f aca="false">IF(Eingaben!$B$14="","",Eingaben!$F$14*(1+C6)^10)</f>
        <v>273946.287101979</v>
      </c>
      <c r="E6" s="30" t="n">
        <f aca="false">IF(Eingaben!$B$14="","",Cashflow!$J$14)</f>
        <v>217245.288161546</v>
      </c>
      <c r="F6" s="31" t="n">
        <f aca="false">IF(Eingaben!$B$14="","",D6-E6)</f>
        <v>56700.9989404329</v>
      </c>
      <c r="G6" s="31" t="n">
        <f aca="false">IF(Eingaben!$B$14="","",Eingaben!$N$14)</f>
        <v>17360</v>
      </c>
      <c r="H6" s="30" t="n">
        <f aca="false">IF(Eingaben!$B$14="","",SUM(Cashflow!$M$5:$M$14))</f>
        <v>-25097.4779931871</v>
      </c>
      <c r="I6" s="40" t="n">
        <f aca="false">IF(Eingaben!$B$14="","",H6+F6-G6)</f>
        <v>14243.5209472458</v>
      </c>
      <c r="J6" s="44" t="n">
        <f aca="false">IF(Eingaben!$B$14="","",IFERROR(IRR(K6:U6),"n/v"))</f>
        <v>0.0415258855493064</v>
      </c>
      <c r="K6" s="20" t="n">
        <f aca="false">IF(Eingaben!$B$14="","",-G6)</f>
        <v>-17360</v>
      </c>
      <c r="L6" s="20" t="n">
        <f aca="false">IF(Eingaben!$B$14="","",Cashflow!$M$5)</f>
        <v>-2817.43255097682</v>
      </c>
      <c r="M6" s="20" t="n">
        <f aca="false">IF(Eingaben!$B$14="","",Cashflow!$M$6)</f>
        <v>-2749.84952160865</v>
      </c>
      <c r="N6" s="20" t="n">
        <f aca="false">IF(Eingaben!$B$14="","",Cashflow!$M$7)</f>
        <v>-2681.9029136724</v>
      </c>
      <c r="O6" s="20" t="n">
        <f aca="false">IF(Eingaben!$B$14="","",Cashflow!$M$8)</f>
        <v>-2613.62776329971</v>
      </c>
      <c r="P6" s="20" t="n">
        <f aca="false">IF(Eingaben!$B$14="","",Cashflow!$M$9)</f>
        <v>-2545.0616188764</v>
      </c>
      <c r="Q6" s="20" t="n">
        <f aca="false">IF(Eingaben!$B$14="","",Cashflow!$M$10)</f>
        <v>-2476.24466885372</v>
      </c>
      <c r="R6" s="20" t="n">
        <f aca="false">IF(Eingaben!$B$14="","",Cashflow!$M$11)</f>
        <v>-2407.21987543702</v>
      </c>
      <c r="S6" s="20" t="n">
        <f aca="false">IF(Eingaben!$B$14="","",Cashflow!$M$12)</f>
        <v>-2338.03311441171</v>
      </c>
      <c r="T6" s="20" t="n">
        <f aca="false">IF(Eingaben!$B$14="","",Cashflow!$M$13)</f>
        <v>-2268.73332137741</v>
      </c>
      <c r="U6" s="20" t="n">
        <f aca="false">IF(Eingaben!$B$14="","",Cashflow!$M$14+F6)</f>
        <v>54501.6262957596</v>
      </c>
    </row>
    <row r="7" customFormat="false" ht="15" hidden="false" customHeight="false" outlineLevel="0" collapsed="false">
      <c r="A7" s="28" t="n">
        <v>1</v>
      </c>
      <c r="B7" s="29" t="str">
        <f aca="false">IF(Eingaben!$B$14="","",Eingaben!$B$14)</f>
        <v>Musterwohnung Berlin</v>
      </c>
      <c r="C7" s="43" t="n">
        <v>0.02</v>
      </c>
      <c r="D7" s="31" t="n">
        <f aca="false">IF(Eingaben!$B$14="","",Eingaben!$F$14*(1+C7)^10)</f>
        <v>302310.6161587</v>
      </c>
      <c r="E7" s="30" t="n">
        <f aca="false">IF(Eingaben!$B$14="","",Cashflow!$J$14)</f>
        <v>217245.288161546</v>
      </c>
      <c r="F7" s="31" t="n">
        <f aca="false">IF(Eingaben!$B$14="","",D7-E7)</f>
        <v>85065.3279971539</v>
      </c>
      <c r="G7" s="31" t="n">
        <f aca="false">IF(Eingaben!$B$14="","",Eingaben!$N$14)</f>
        <v>17360</v>
      </c>
      <c r="H7" s="30" t="n">
        <f aca="false">IF(Eingaben!$B$14="","",SUM(Cashflow!$M$5:$M$14))</f>
        <v>-25097.4779931871</v>
      </c>
      <c r="I7" s="40" t="n">
        <f aca="false">IF(Eingaben!$B$14="","",H7+F7-G7)</f>
        <v>42607.8500039669</v>
      </c>
      <c r="J7" s="44" t="n">
        <f aca="false">IF(Eingaben!$B$14="","",IFERROR(IRR(K7:U7),"n/v"))</f>
        <v>0.0986744308649241</v>
      </c>
      <c r="K7" s="20" t="n">
        <f aca="false">IF(Eingaben!$B$14="","",-G7)</f>
        <v>-17360</v>
      </c>
      <c r="L7" s="20" t="n">
        <f aca="false">IF(Eingaben!$B$14="","",Cashflow!$M$5)</f>
        <v>-2817.43255097682</v>
      </c>
      <c r="M7" s="20" t="n">
        <f aca="false">IF(Eingaben!$B$14="","",Cashflow!$M$6)</f>
        <v>-2749.84952160865</v>
      </c>
      <c r="N7" s="20" t="n">
        <f aca="false">IF(Eingaben!$B$14="","",Cashflow!$M$7)</f>
        <v>-2681.9029136724</v>
      </c>
      <c r="O7" s="20" t="n">
        <f aca="false">IF(Eingaben!$B$14="","",Cashflow!$M$8)</f>
        <v>-2613.62776329971</v>
      </c>
      <c r="P7" s="20" t="n">
        <f aca="false">IF(Eingaben!$B$14="","",Cashflow!$M$9)</f>
        <v>-2545.0616188764</v>
      </c>
      <c r="Q7" s="20" t="n">
        <f aca="false">IF(Eingaben!$B$14="","",Cashflow!$M$10)</f>
        <v>-2476.24466885372</v>
      </c>
      <c r="R7" s="20" t="n">
        <f aca="false">IF(Eingaben!$B$14="","",Cashflow!$M$11)</f>
        <v>-2407.21987543702</v>
      </c>
      <c r="S7" s="20" t="n">
        <f aca="false">IF(Eingaben!$B$14="","",Cashflow!$M$12)</f>
        <v>-2338.03311441171</v>
      </c>
      <c r="T7" s="20" t="n">
        <f aca="false">IF(Eingaben!$B$14="","",Cashflow!$M$13)</f>
        <v>-2268.73332137741</v>
      </c>
      <c r="U7" s="20" t="n">
        <f aca="false">IF(Eingaben!$B$14="","",Cashflow!$M$14+F7)</f>
        <v>82865.9553524807</v>
      </c>
    </row>
    <row r="8" customFormat="false" ht="15" hidden="false" customHeight="false" outlineLevel="0" collapsed="false">
      <c r="A8" s="35" t="n">
        <v>2</v>
      </c>
      <c r="B8" s="29" t="str">
        <f aca="false">IF(Eingaben!$B$15="","",Eingaben!$B$15)</f>
        <v/>
      </c>
      <c r="C8" s="45" t="n">
        <v>0</v>
      </c>
      <c r="D8" s="36" t="str">
        <f aca="false">IF(Eingaben!$B$15="","",Eingaben!$F$15*(1+C8)^10)</f>
        <v/>
      </c>
      <c r="E8" s="30" t="str">
        <f aca="false">IF(Eingaben!$B$15="","",Cashflow!$J$24)</f>
        <v/>
      </c>
      <c r="F8" s="36" t="str">
        <f aca="false">IF(Eingaben!$B$15="","",D8-E8)</f>
        <v/>
      </c>
      <c r="G8" s="36" t="str">
        <f aca="false">IF(Eingaben!$B$15="","",Eingaben!$N$15)</f>
        <v/>
      </c>
      <c r="H8" s="30" t="str">
        <f aca="false">IF(Eingaben!$B$15="","",SUM(Cashflow!$M$15:$M$24))</f>
        <v/>
      </c>
      <c r="I8" s="42" t="str">
        <f aca="false">IF(Eingaben!$B$15="","",H8+F8-G8)</f>
        <v/>
      </c>
      <c r="J8" s="46" t="str">
        <f aca="false">IF(Eingaben!$B$15="","",IFERROR(IRR(K8:U8),"n/v"))</f>
        <v/>
      </c>
      <c r="K8" s="20" t="str">
        <f aca="false">IF(Eingaben!$B$15="","",-G8)</f>
        <v/>
      </c>
      <c r="L8" s="20" t="str">
        <f aca="false">IF(Eingaben!$B$15="","",Cashflow!$M$15)</f>
        <v/>
      </c>
      <c r="M8" s="20" t="str">
        <f aca="false">IF(Eingaben!$B$15="","",Cashflow!$M$16)</f>
        <v/>
      </c>
      <c r="N8" s="20" t="str">
        <f aca="false">IF(Eingaben!$B$15="","",Cashflow!$M$17)</f>
        <v/>
      </c>
      <c r="O8" s="20" t="str">
        <f aca="false">IF(Eingaben!$B$15="","",Cashflow!$M$18)</f>
        <v/>
      </c>
      <c r="P8" s="20" t="str">
        <f aca="false">IF(Eingaben!$B$15="","",Cashflow!$M$19)</f>
        <v/>
      </c>
      <c r="Q8" s="20" t="str">
        <f aca="false">IF(Eingaben!$B$15="","",Cashflow!$M$20)</f>
        <v/>
      </c>
      <c r="R8" s="20" t="str">
        <f aca="false">IF(Eingaben!$B$15="","",Cashflow!$M$21)</f>
        <v/>
      </c>
      <c r="S8" s="20" t="str">
        <f aca="false">IF(Eingaben!$B$15="","",Cashflow!$M$22)</f>
        <v/>
      </c>
      <c r="T8" s="20" t="str">
        <f aca="false">IF(Eingaben!$B$15="","",Cashflow!$M$23)</f>
        <v/>
      </c>
      <c r="U8" s="20" t="str">
        <f aca="false">IF(Eingaben!$B$15="","",Cashflow!$M$24+F8)</f>
        <v/>
      </c>
    </row>
    <row r="9" customFormat="false" ht="15" hidden="false" customHeight="false" outlineLevel="0" collapsed="false">
      <c r="A9" s="35" t="n">
        <v>2</v>
      </c>
      <c r="B9" s="29" t="str">
        <f aca="false">IF(Eingaben!$B$15="","",Eingaben!$B$15)</f>
        <v/>
      </c>
      <c r="C9" s="45" t="n">
        <v>0.01</v>
      </c>
      <c r="D9" s="36" t="str">
        <f aca="false">IF(Eingaben!$B$15="","",Eingaben!$F$15*(1+C9)^10)</f>
        <v/>
      </c>
      <c r="E9" s="30" t="str">
        <f aca="false">IF(Eingaben!$B$15="","",Cashflow!$J$24)</f>
        <v/>
      </c>
      <c r="F9" s="36" t="str">
        <f aca="false">IF(Eingaben!$B$15="","",D9-E9)</f>
        <v/>
      </c>
      <c r="G9" s="36" t="str">
        <f aca="false">IF(Eingaben!$B$15="","",Eingaben!$N$15)</f>
        <v/>
      </c>
      <c r="H9" s="30" t="str">
        <f aca="false">IF(Eingaben!$B$15="","",SUM(Cashflow!$M$15:$M$24))</f>
        <v/>
      </c>
      <c r="I9" s="42" t="str">
        <f aca="false">IF(Eingaben!$B$15="","",H9+F9-G9)</f>
        <v/>
      </c>
      <c r="J9" s="46" t="str">
        <f aca="false">IF(Eingaben!$B$15="","",IFERROR(IRR(K9:U9),"n/v"))</f>
        <v/>
      </c>
      <c r="K9" s="20" t="str">
        <f aca="false">IF(Eingaben!$B$15="","",-G9)</f>
        <v/>
      </c>
      <c r="L9" s="20" t="str">
        <f aca="false">IF(Eingaben!$B$15="","",Cashflow!$M$15)</f>
        <v/>
      </c>
      <c r="M9" s="20" t="str">
        <f aca="false">IF(Eingaben!$B$15="","",Cashflow!$M$16)</f>
        <v/>
      </c>
      <c r="N9" s="20" t="str">
        <f aca="false">IF(Eingaben!$B$15="","",Cashflow!$M$17)</f>
        <v/>
      </c>
      <c r="O9" s="20" t="str">
        <f aca="false">IF(Eingaben!$B$15="","",Cashflow!$M$18)</f>
        <v/>
      </c>
      <c r="P9" s="20" t="str">
        <f aca="false">IF(Eingaben!$B$15="","",Cashflow!$M$19)</f>
        <v/>
      </c>
      <c r="Q9" s="20" t="str">
        <f aca="false">IF(Eingaben!$B$15="","",Cashflow!$M$20)</f>
        <v/>
      </c>
      <c r="R9" s="20" t="str">
        <f aca="false">IF(Eingaben!$B$15="","",Cashflow!$M$21)</f>
        <v/>
      </c>
      <c r="S9" s="20" t="str">
        <f aca="false">IF(Eingaben!$B$15="","",Cashflow!$M$22)</f>
        <v/>
      </c>
      <c r="T9" s="20" t="str">
        <f aca="false">IF(Eingaben!$B$15="","",Cashflow!$M$23)</f>
        <v/>
      </c>
      <c r="U9" s="20" t="str">
        <f aca="false">IF(Eingaben!$B$15="","",Cashflow!$M$24+F9)</f>
        <v/>
      </c>
    </row>
    <row r="10" customFormat="false" ht="15" hidden="false" customHeight="false" outlineLevel="0" collapsed="false">
      <c r="A10" s="35" t="n">
        <v>2</v>
      </c>
      <c r="B10" s="29" t="str">
        <f aca="false">IF(Eingaben!$B$15="","",Eingaben!$B$15)</f>
        <v/>
      </c>
      <c r="C10" s="45" t="n">
        <v>0.02</v>
      </c>
      <c r="D10" s="36" t="str">
        <f aca="false">IF(Eingaben!$B$15="","",Eingaben!$F$15*(1+C10)^10)</f>
        <v/>
      </c>
      <c r="E10" s="30" t="str">
        <f aca="false">IF(Eingaben!$B$15="","",Cashflow!$J$24)</f>
        <v/>
      </c>
      <c r="F10" s="36" t="str">
        <f aca="false">IF(Eingaben!$B$15="","",D10-E10)</f>
        <v/>
      </c>
      <c r="G10" s="36" t="str">
        <f aca="false">IF(Eingaben!$B$15="","",Eingaben!$N$15)</f>
        <v/>
      </c>
      <c r="H10" s="30" t="str">
        <f aca="false">IF(Eingaben!$B$15="","",SUM(Cashflow!$M$15:$M$24))</f>
        <v/>
      </c>
      <c r="I10" s="42" t="str">
        <f aca="false">IF(Eingaben!$B$15="","",H10+F10-G10)</f>
        <v/>
      </c>
      <c r="J10" s="46" t="str">
        <f aca="false">IF(Eingaben!$B$15="","",IFERROR(IRR(K10:U10),"n/v"))</f>
        <v/>
      </c>
      <c r="K10" s="20" t="str">
        <f aca="false">IF(Eingaben!$B$15="","",-G10)</f>
        <v/>
      </c>
      <c r="L10" s="20" t="str">
        <f aca="false">IF(Eingaben!$B$15="","",Cashflow!$M$15)</f>
        <v/>
      </c>
      <c r="M10" s="20" t="str">
        <f aca="false">IF(Eingaben!$B$15="","",Cashflow!$M$16)</f>
        <v/>
      </c>
      <c r="N10" s="20" t="str">
        <f aca="false">IF(Eingaben!$B$15="","",Cashflow!$M$17)</f>
        <v/>
      </c>
      <c r="O10" s="20" t="str">
        <f aca="false">IF(Eingaben!$B$15="","",Cashflow!$M$18)</f>
        <v/>
      </c>
      <c r="P10" s="20" t="str">
        <f aca="false">IF(Eingaben!$B$15="","",Cashflow!$M$19)</f>
        <v/>
      </c>
      <c r="Q10" s="20" t="str">
        <f aca="false">IF(Eingaben!$B$15="","",Cashflow!$M$20)</f>
        <v/>
      </c>
      <c r="R10" s="20" t="str">
        <f aca="false">IF(Eingaben!$B$15="","",Cashflow!$M$21)</f>
        <v/>
      </c>
      <c r="S10" s="20" t="str">
        <f aca="false">IF(Eingaben!$B$15="","",Cashflow!$M$22)</f>
        <v/>
      </c>
      <c r="T10" s="20" t="str">
        <f aca="false">IF(Eingaben!$B$15="","",Cashflow!$M$23)</f>
        <v/>
      </c>
      <c r="U10" s="20" t="str">
        <f aca="false">IF(Eingaben!$B$15="","",Cashflow!$M$24+F10)</f>
        <v/>
      </c>
    </row>
    <row r="11" customFormat="false" ht="15" hidden="false" customHeight="false" outlineLevel="0" collapsed="false">
      <c r="A11" s="28" t="n">
        <v>3</v>
      </c>
      <c r="B11" s="29" t="str">
        <f aca="false">IF(Eingaben!$B$16="","",Eingaben!$B$16)</f>
        <v/>
      </c>
      <c r="C11" s="43" t="n">
        <v>0</v>
      </c>
      <c r="D11" s="31" t="str">
        <f aca="false">IF(Eingaben!$B$16="","",Eingaben!$F$16*(1+C11)^10)</f>
        <v/>
      </c>
      <c r="E11" s="30" t="str">
        <f aca="false">IF(Eingaben!$B$16="","",Cashflow!$J$34)</f>
        <v/>
      </c>
      <c r="F11" s="31" t="str">
        <f aca="false">IF(Eingaben!$B$16="","",D11-E11)</f>
        <v/>
      </c>
      <c r="G11" s="31" t="str">
        <f aca="false">IF(Eingaben!$B$16="","",Eingaben!$N$16)</f>
        <v/>
      </c>
      <c r="H11" s="30" t="str">
        <f aca="false">IF(Eingaben!$B$16="","",SUM(Cashflow!$M$25:$M$34))</f>
        <v/>
      </c>
      <c r="I11" s="40" t="str">
        <f aca="false">IF(Eingaben!$B$16="","",H11+F11-G11)</f>
        <v/>
      </c>
      <c r="J11" s="44" t="str">
        <f aca="false">IF(Eingaben!$B$16="","",IFERROR(IRR(K11:U11),"n/v"))</f>
        <v/>
      </c>
      <c r="K11" s="20" t="str">
        <f aca="false">IF(Eingaben!$B$16="","",-G11)</f>
        <v/>
      </c>
      <c r="L11" s="20" t="str">
        <f aca="false">IF(Eingaben!$B$16="","",Cashflow!$M$25)</f>
        <v/>
      </c>
      <c r="M11" s="20" t="str">
        <f aca="false">IF(Eingaben!$B$16="","",Cashflow!$M$26)</f>
        <v/>
      </c>
      <c r="N11" s="20" t="str">
        <f aca="false">IF(Eingaben!$B$16="","",Cashflow!$M$27)</f>
        <v/>
      </c>
      <c r="O11" s="20" t="str">
        <f aca="false">IF(Eingaben!$B$16="","",Cashflow!$M$28)</f>
        <v/>
      </c>
      <c r="P11" s="20" t="str">
        <f aca="false">IF(Eingaben!$B$16="","",Cashflow!$M$29)</f>
        <v/>
      </c>
      <c r="Q11" s="20" t="str">
        <f aca="false">IF(Eingaben!$B$16="","",Cashflow!$M$30)</f>
        <v/>
      </c>
      <c r="R11" s="20" t="str">
        <f aca="false">IF(Eingaben!$B$16="","",Cashflow!$M$31)</f>
        <v/>
      </c>
      <c r="S11" s="20" t="str">
        <f aca="false">IF(Eingaben!$B$16="","",Cashflow!$M$32)</f>
        <v/>
      </c>
      <c r="T11" s="20" t="str">
        <f aca="false">IF(Eingaben!$B$16="","",Cashflow!$M$33)</f>
        <v/>
      </c>
      <c r="U11" s="20" t="str">
        <f aca="false">IF(Eingaben!$B$16="","",Cashflow!$M$34+F11)</f>
        <v/>
      </c>
    </row>
    <row r="12" customFormat="false" ht="15" hidden="false" customHeight="false" outlineLevel="0" collapsed="false">
      <c r="A12" s="28" t="n">
        <v>3</v>
      </c>
      <c r="B12" s="29" t="str">
        <f aca="false">IF(Eingaben!$B$16="","",Eingaben!$B$16)</f>
        <v/>
      </c>
      <c r="C12" s="43" t="n">
        <v>0.01</v>
      </c>
      <c r="D12" s="31" t="str">
        <f aca="false">IF(Eingaben!$B$16="","",Eingaben!$F$16*(1+C12)^10)</f>
        <v/>
      </c>
      <c r="E12" s="30" t="str">
        <f aca="false">IF(Eingaben!$B$16="","",Cashflow!$J$34)</f>
        <v/>
      </c>
      <c r="F12" s="31" t="str">
        <f aca="false">IF(Eingaben!$B$16="","",D12-E12)</f>
        <v/>
      </c>
      <c r="G12" s="31" t="str">
        <f aca="false">IF(Eingaben!$B$16="","",Eingaben!$N$16)</f>
        <v/>
      </c>
      <c r="H12" s="30" t="str">
        <f aca="false">IF(Eingaben!$B$16="","",SUM(Cashflow!$M$25:$M$34))</f>
        <v/>
      </c>
      <c r="I12" s="40" t="str">
        <f aca="false">IF(Eingaben!$B$16="","",H12+F12-G12)</f>
        <v/>
      </c>
      <c r="J12" s="44" t="str">
        <f aca="false">IF(Eingaben!$B$16="","",IFERROR(IRR(K12:U12),"n/v"))</f>
        <v/>
      </c>
      <c r="K12" s="20" t="str">
        <f aca="false">IF(Eingaben!$B$16="","",-G12)</f>
        <v/>
      </c>
      <c r="L12" s="20" t="str">
        <f aca="false">IF(Eingaben!$B$16="","",Cashflow!$M$25)</f>
        <v/>
      </c>
      <c r="M12" s="20" t="str">
        <f aca="false">IF(Eingaben!$B$16="","",Cashflow!$M$26)</f>
        <v/>
      </c>
      <c r="N12" s="20" t="str">
        <f aca="false">IF(Eingaben!$B$16="","",Cashflow!$M$27)</f>
        <v/>
      </c>
      <c r="O12" s="20" t="str">
        <f aca="false">IF(Eingaben!$B$16="","",Cashflow!$M$28)</f>
        <v/>
      </c>
      <c r="P12" s="20" t="str">
        <f aca="false">IF(Eingaben!$B$16="","",Cashflow!$M$29)</f>
        <v/>
      </c>
      <c r="Q12" s="20" t="str">
        <f aca="false">IF(Eingaben!$B$16="","",Cashflow!$M$30)</f>
        <v/>
      </c>
      <c r="R12" s="20" t="str">
        <f aca="false">IF(Eingaben!$B$16="","",Cashflow!$M$31)</f>
        <v/>
      </c>
      <c r="S12" s="20" t="str">
        <f aca="false">IF(Eingaben!$B$16="","",Cashflow!$M$32)</f>
        <v/>
      </c>
      <c r="T12" s="20" t="str">
        <f aca="false">IF(Eingaben!$B$16="","",Cashflow!$M$33)</f>
        <v/>
      </c>
      <c r="U12" s="20" t="str">
        <f aca="false">IF(Eingaben!$B$16="","",Cashflow!$M$34+F12)</f>
        <v/>
      </c>
    </row>
    <row r="13" customFormat="false" ht="15" hidden="false" customHeight="false" outlineLevel="0" collapsed="false">
      <c r="A13" s="28" t="n">
        <v>3</v>
      </c>
      <c r="B13" s="29" t="str">
        <f aca="false">IF(Eingaben!$B$16="","",Eingaben!$B$16)</f>
        <v/>
      </c>
      <c r="C13" s="43" t="n">
        <v>0.02</v>
      </c>
      <c r="D13" s="31" t="str">
        <f aca="false">IF(Eingaben!$B$16="","",Eingaben!$F$16*(1+C13)^10)</f>
        <v/>
      </c>
      <c r="E13" s="30" t="str">
        <f aca="false">IF(Eingaben!$B$16="","",Cashflow!$J$34)</f>
        <v/>
      </c>
      <c r="F13" s="31" t="str">
        <f aca="false">IF(Eingaben!$B$16="","",D13-E13)</f>
        <v/>
      </c>
      <c r="G13" s="31" t="str">
        <f aca="false">IF(Eingaben!$B$16="","",Eingaben!$N$16)</f>
        <v/>
      </c>
      <c r="H13" s="30" t="str">
        <f aca="false">IF(Eingaben!$B$16="","",SUM(Cashflow!$M$25:$M$34))</f>
        <v/>
      </c>
      <c r="I13" s="40" t="str">
        <f aca="false">IF(Eingaben!$B$16="","",H13+F13-G13)</f>
        <v/>
      </c>
      <c r="J13" s="44" t="str">
        <f aca="false">IF(Eingaben!$B$16="","",IFERROR(IRR(K13:U13),"n/v"))</f>
        <v/>
      </c>
      <c r="K13" s="20" t="str">
        <f aca="false">IF(Eingaben!$B$16="","",-G13)</f>
        <v/>
      </c>
      <c r="L13" s="20" t="str">
        <f aca="false">IF(Eingaben!$B$16="","",Cashflow!$M$25)</f>
        <v/>
      </c>
      <c r="M13" s="20" t="str">
        <f aca="false">IF(Eingaben!$B$16="","",Cashflow!$M$26)</f>
        <v/>
      </c>
      <c r="N13" s="20" t="str">
        <f aca="false">IF(Eingaben!$B$16="","",Cashflow!$M$27)</f>
        <v/>
      </c>
      <c r="O13" s="20" t="str">
        <f aca="false">IF(Eingaben!$B$16="","",Cashflow!$M$28)</f>
        <v/>
      </c>
      <c r="P13" s="20" t="str">
        <f aca="false">IF(Eingaben!$B$16="","",Cashflow!$M$29)</f>
        <v/>
      </c>
      <c r="Q13" s="20" t="str">
        <f aca="false">IF(Eingaben!$B$16="","",Cashflow!$M$30)</f>
        <v/>
      </c>
      <c r="R13" s="20" t="str">
        <f aca="false">IF(Eingaben!$B$16="","",Cashflow!$M$31)</f>
        <v/>
      </c>
      <c r="S13" s="20" t="str">
        <f aca="false">IF(Eingaben!$B$16="","",Cashflow!$M$32)</f>
        <v/>
      </c>
      <c r="T13" s="20" t="str">
        <f aca="false">IF(Eingaben!$B$16="","",Cashflow!$M$33)</f>
        <v/>
      </c>
      <c r="U13" s="20" t="str">
        <f aca="false">IF(Eingaben!$B$16="","",Cashflow!$M$34+F13)</f>
        <v/>
      </c>
    </row>
    <row r="14" customFormat="false" ht="15" hidden="false" customHeight="false" outlineLevel="0" collapsed="false">
      <c r="A14" s="35" t="n">
        <v>4</v>
      </c>
      <c r="B14" s="29" t="str">
        <f aca="false">IF(Eingaben!$B$17="","",Eingaben!$B$17)</f>
        <v/>
      </c>
      <c r="C14" s="45" t="n">
        <v>0</v>
      </c>
      <c r="D14" s="36" t="str">
        <f aca="false">IF(Eingaben!$B$17="","",Eingaben!$F$17*(1+C14)^10)</f>
        <v/>
      </c>
      <c r="E14" s="30" t="str">
        <f aca="false">IF(Eingaben!$B$17="","",Cashflow!$J$44)</f>
        <v/>
      </c>
      <c r="F14" s="36" t="str">
        <f aca="false">IF(Eingaben!$B$17="","",D14-E14)</f>
        <v/>
      </c>
      <c r="G14" s="36" t="str">
        <f aca="false">IF(Eingaben!$B$17="","",Eingaben!$N$17)</f>
        <v/>
      </c>
      <c r="H14" s="30" t="str">
        <f aca="false">IF(Eingaben!$B$17="","",SUM(Cashflow!$M$35:$M$44))</f>
        <v/>
      </c>
      <c r="I14" s="42" t="str">
        <f aca="false">IF(Eingaben!$B$17="","",H14+F14-G14)</f>
        <v/>
      </c>
      <c r="J14" s="46" t="str">
        <f aca="false">IF(Eingaben!$B$17="","",IFERROR(IRR(K14:U14),"n/v"))</f>
        <v/>
      </c>
      <c r="K14" s="20" t="str">
        <f aca="false">IF(Eingaben!$B$17="","",-G14)</f>
        <v/>
      </c>
      <c r="L14" s="20" t="str">
        <f aca="false">IF(Eingaben!$B$17="","",Cashflow!$M$35)</f>
        <v/>
      </c>
      <c r="M14" s="20" t="str">
        <f aca="false">IF(Eingaben!$B$17="","",Cashflow!$M$36)</f>
        <v/>
      </c>
      <c r="N14" s="20" t="str">
        <f aca="false">IF(Eingaben!$B$17="","",Cashflow!$M$37)</f>
        <v/>
      </c>
      <c r="O14" s="20" t="str">
        <f aca="false">IF(Eingaben!$B$17="","",Cashflow!$M$38)</f>
        <v/>
      </c>
      <c r="P14" s="20" t="str">
        <f aca="false">IF(Eingaben!$B$17="","",Cashflow!$M$39)</f>
        <v/>
      </c>
      <c r="Q14" s="20" t="str">
        <f aca="false">IF(Eingaben!$B$17="","",Cashflow!$M$40)</f>
        <v/>
      </c>
      <c r="R14" s="20" t="str">
        <f aca="false">IF(Eingaben!$B$17="","",Cashflow!$M$41)</f>
        <v/>
      </c>
      <c r="S14" s="20" t="str">
        <f aca="false">IF(Eingaben!$B$17="","",Cashflow!$M$42)</f>
        <v/>
      </c>
      <c r="T14" s="20" t="str">
        <f aca="false">IF(Eingaben!$B$17="","",Cashflow!$M$43)</f>
        <v/>
      </c>
      <c r="U14" s="20" t="str">
        <f aca="false">IF(Eingaben!$B$17="","",Cashflow!$M$44+F14)</f>
        <v/>
      </c>
    </row>
    <row r="15" customFormat="false" ht="15" hidden="false" customHeight="false" outlineLevel="0" collapsed="false">
      <c r="A15" s="35" t="n">
        <v>4</v>
      </c>
      <c r="B15" s="29" t="str">
        <f aca="false">IF(Eingaben!$B$17="","",Eingaben!$B$17)</f>
        <v/>
      </c>
      <c r="C15" s="45" t="n">
        <v>0.01</v>
      </c>
      <c r="D15" s="36" t="str">
        <f aca="false">IF(Eingaben!$B$17="","",Eingaben!$F$17*(1+C15)^10)</f>
        <v/>
      </c>
      <c r="E15" s="30" t="str">
        <f aca="false">IF(Eingaben!$B$17="","",Cashflow!$J$44)</f>
        <v/>
      </c>
      <c r="F15" s="36" t="str">
        <f aca="false">IF(Eingaben!$B$17="","",D15-E15)</f>
        <v/>
      </c>
      <c r="G15" s="36" t="str">
        <f aca="false">IF(Eingaben!$B$17="","",Eingaben!$N$17)</f>
        <v/>
      </c>
      <c r="H15" s="30" t="str">
        <f aca="false">IF(Eingaben!$B$17="","",SUM(Cashflow!$M$35:$M$44))</f>
        <v/>
      </c>
      <c r="I15" s="42" t="str">
        <f aca="false">IF(Eingaben!$B$17="","",H15+F15-G15)</f>
        <v/>
      </c>
      <c r="J15" s="46" t="str">
        <f aca="false">IF(Eingaben!$B$17="","",IFERROR(IRR(K15:U15),"n/v"))</f>
        <v/>
      </c>
      <c r="K15" s="20" t="str">
        <f aca="false">IF(Eingaben!$B$17="","",-G15)</f>
        <v/>
      </c>
      <c r="L15" s="20" t="str">
        <f aca="false">IF(Eingaben!$B$17="","",Cashflow!$M$35)</f>
        <v/>
      </c>
      <c r="M15" s="20" t="str">
        <f aca="false">IF(Eingaben!$B$17="","",Cashflow!$M$36)</f>
        <v/>
      </c>
      <c r="N15" s="20" t="str">
        <f aca="false">IF(Eingaben!$B$17="","",Cashflow!$M$37)</f>
        <v/>
      </c>
      <c r="O15" s="20" t="str">
        <f aca="false">IF(Eingaben!$B$17="","",Cashflow!$M$38)</f>
        <v/>
      </c>
      <c r="P15" s="20" t="str">
        <f aca="false">IF(Eingaben!$B$17="","",Cashflow!$M$39)</f>
        <v/>
      </c>
      <c r="Q15" s="20" t="str">
        <f aca="false">IF(Eingaben!$B$17="","",Cashflow!$M$40)</f>
        <v/>
      </c>
      <c r="R15" s="20" t="str">
        <f aca="false">IF(Eingaben!$B$17="","",Cashflow!$M$41)</f>
        <v/>
      </c>
      <c r="S15" s="20" t="str">
        <f aca="false">IF(Eingaben!$B$17="","",Cashflow!$M$42)</f>
        <v/>
      </c>
      <c r="T15" s="20" t="str">
        <f aca="false">IF(Eingaben!$B$17="","",Cashflow!$M$43)</f>
        <v/>
      </c>
      <c r="U15" s="20" t="str">
        <f aca="false">IF(Eingaben!$B$17="","",Cashflow!$M$44+F15)</f>
        <v/>
      </c>
    </row>
    <row r="16" customFormat="false" ht="15" hidden="false" customHeight="false" outlineLevel="0" collapsed="false">
      <c r="A16" s="35" t="n">
        <v>4</v>
      </c>
      <c r="B16" s="29" t="str">
        <f aca="false">IF(Eingaben!$B$17="","",Eingaben!$B$17)</f>
        <v/>
      </c>
      <c r="C16" s="45" t="n">
        <v>0.02</v>
      </c>
      <c r="D16" s="36" t="str">
        <f aca="false">IF(Eingaben!$B$17="","",Eingaben!$F$17*(1+C16)^10)</f>
        <v/>
      </c>
      <c r="E16" s="30" t="str">
        <f aca="false">IF(Eingaben!$B$17="","",Cashflow!$J$44)</f>
        <v/>
      </c>
      <c r="F16" s="36" t="str">
        <f aca="false">IF(Eingaben!$B$17="","",D16-E16)</f>
        <v/>
      </c>
      <c r="G16" s="36" t="str">
        <f aca="false">IF(Eingaben!$B$17="","",Eingaben!$N$17)</f>
        <v/>
      </c>
      <c r="H16" s="30" t="str">
        <f aca="false">IF(Eingaben!$B$17="","",SUM(Cashflow!$M$35:$M$44))</f>
        <v/>
      </c>
      <c r="I16" s="42" t="str">
        <f aca="false">IF(Eingaben!$B$17="","",H16+F16-G16)</f>
        <v/>
      </c>
      <c r="J16" s="46" t="str">
        <f aca="false">IF(Eingaben!$B$17="","",IFERROR(IRR(K16:U16),"n/v"))</f>
        <v/>
      </c>
      <c r="K16" s="20" t="str">
        <f aca="false">IF(Eingaben!$B$17="","",-G16)</f>
        <v/>
      </c>
      <c r="L16" s="20" t="str">
        <f aca="false">IF(Eingaben!$B$17="","",Cashflow!$M$35)</f>
        <v/>
      </c>
      <c r="M16" s="20" t="str">
        <f aca="false">IF(Eingaben!$B$17="","",Cashflow!$M$36)</f>
        <v/>
      </c>
      <c r="N16" s="20" t="str">
        <f aca="false">IF(Eingaben!$B$17="","",Cashflow!$M$37)</f>
        <v/>
      </c>
      <c r="O16" s="20" t="str">
        <f aca="false">IF(Eingaben!$B$17="","",Cashflow!$M$38)</f>
        <v/>
      </c>
      <c r="P16" s="20" t="str">
        <f aca="false">IF(Eingaben!$B$17="","",Cashflow!$M$39)</f>
        <v/>
      </c>
      <c r="Q16" s="20" t="str">
        <f aca="false">IF(Eingaben!$B$17="","",Cashflow!$M$40)</f>
        <v/>
      </c>
      <c r="R16" s="20" t="str">
        <f aca="false">IF(Eingaben!$B$17="","",Cashflow!$M$41)</f>
        <v/>
      </c>
      <c r="S16" s="20" t="str">
        <f aca="false">IF(Eingaben!$B$17="","",Cashflow!$M$42)</f>
        <v/>
      </c>
      <c r="T16" s="20" t="str">
        <f aca="false">IF(Eingaben!$B$17="","",Cashflow!$M$43)</f>
        <v/>
      </c>
      <c r="U16" s="20" t="str">
        <f aca="false">IF(Eingaben!$B$17="","",Cashflow!$M$44+F16)</f>
        <v/>
      </c>
    </row>
    <row r="17" customFormat="false" ht="15" hidden="false" customHeight="false" outlineLevel="0" collapsed="false">
      <c r="A17" s="28" t="n">
        <v>5</v>
      </c>
      <c r="B17" s="29" t="str">
        <f aca="false">IF(Eingaben!$B$18="","",Eingaben!$B$18)</f>
        <v/>
      </c>
      <c r="C17" s="43" t="n">
        <v>0</v>
      </c>
      <c r="D17" s="31" t="str">
        <f aca="false">IF(Eingaben!$B$18="","",Eingaben!$F$18*(1+C17)^10)</f>
        <v/>
      </c>
      <c r="E17" s="30" t="str">
        <f aca="false">IF(Eingaben!$B$18="","",Cashflow!$J$54)</f>
        <v/>
      </c>
      <c r="F17" s="31" t="str">
        <f aca="false">IF(Eingaben!$B$18="","",D17-E17)</f>
        <v/>
      </c>
      <c r="G17" s="31" t="str">
        <f aca="false">IF(Eingaben!$B$18="","",Eingaben!$N$18)</f>
        <v/>
      </c>
      <c r="H17" s="30" t="str">
        <f aca="false">IF(Eingaben!$B$18="","",SUM(Cashflow!$M$45:$M$54))</f>
        <v/>
      </c>
      <c r="I17" s="40" t="str">
        <f aca="false">IF(Eingaben!$B$18="","",H17+F17-G17)</f>
        <v/>
      </c>
      <c r="J17" s="44" t="str">
        <f aca="false">IF(Eingaben!$B$18="","",IFERROR(IRR(K17:U17),"n/v"))</f>
        <v/>
      </c>
      <c r="K17" s="20" t="str">
        <f aca="false">IF(Eingaben!$B$18="","",-G17)</f>
        <v/>
      </c>
      <c r="L17" s="20" t="str">
        <f aca="false">IF(Eingaben!$B$18="","",Cashflow!$M$45)</f>
        <v/>
      </c>
      <c r="M17" s="20" t="str">
        <f aca="false">IF(Eingaben!$B$18="","",Cashflow!$M$46)</f>
        <v/>
      </c>
      <c r="N17" s="20" t="str">
        <f aca="false">IF(Eingaben!$B$18="","",Cashflow!$M$47)</f>
        <v/>
      </c>
      <c r="O17" s="20" t="str">
        <f aca="false">IF(Eingaben!$B$18="","",Cashflow!$M$48)</f>
        <v/>
      </c>
      <c r="P17" s="20" t="str">
        <f aca="false">IF(Eingaben!$B$18="","",Cashflow!$M$49)</f>
        <v/>
      </c>
      <c r="Q17" s="20" t="str">
        <f aca="false">IF(Eingaben!$B$18="","",Cashflow!$M$50)</f>
        <v/>
      </c>
      <c r="R17" s="20" t="str">
        <f aca="false">IF(Eingaben!$B$18="","",Cashflow!$M$51)</f>
        <v/>
      </c>
      <c r="S17" s="20" t="str">
        <f aca="false">IF(Eingaben!$B$18="","",Cashflow!$M$52)</f>
        <v/>
      </c>
      <c r="T17" s="20" t="str">
        <f aca="false">IF(Eingaben!$B$18="","",Cashflow!$M$53)</f>
        <v/>
      </c>
      <c r="U17" s="20" t="str">
        <f aca="false">IF(Eingaben!$B$18="","",Cashflow!$M$54+F17)</f>
        <v/>
      </c>
    </row>
    <row r="18" customFormat="false" ht="15" hidden="false" customHeight="false" outlineLevel="0" collapsed="false">
      <c r="A18" s="28" t="n">
        <v>5</v>
      </c>
      <c r="B18" s="29" t="str">
        <f aca="false">IF(Eingaben!$B$18="","",Eingaben!$B$18)</f>
        <v/>
      </c>
      <c r="C18" s="43" t="n">
        <v>0.01</v>
      </c>
      <c r="D18" s="31" t="str">
        <f aca="false">IF(Eingaben!$B$18="","",Eingaben!$F$18*(1+C18)^10)</f>
        <v/>
      </c>
      <c r="E18" s="30" t="str">
        <f aca="false">IF(Eingaben!$B$18="","",Cashflow!$J$54)</f>
        <v/>
      </c>
      <c r="F18" s="31" t="str">
        <f aca="false">IF(Eingaben!$B$18="","",D18-E18)</f>
        <v/>
      </c>
      <c r="G18" s="31" t="str">
        <f aca="false">IF(Eingaben!$B$18="","",Eingaben!$N$18)</f>
        <v/>
      </c>
      <c r="H18" s="30" t="str">
        <f aca="false">IF(Eingaben!$B$18="","",SUM(Cashflow!$M$45:$M$54))</f>
        <v/>
      </c>
      <c r="I18" s="40" t="str">
        <f aca="false">IF(Eingaben!$B$18="","",H18+F18-G18)</f>
        <v/>
      </c>
      <c r="J18" s="44" t="str">
        <f aca="false">IF(Eingaben!$B$18="","",IFERROR(IRR(K18:U18),"n/v"))</f>
        <v/>
      </c>
      <c r="K18" s="20" t="str">
        <f aca="false">IF(Eingaben!$B$18="","",-G18)</f>
        <v/>
      </c>
      <c r="L18" s="20" t="str">
        <f aca="false">IF(Eingaben!$B$18="","",Cashflow!$M$45)</f>
        <v/>
      </c>
      <c r="M18" s="20" t="str">
        <f aca="false">IF(Eingaben!$B$18="","",Cashflow!$M$46)</f>
        <v/>
      </c>
      <c r="N18" s="20" t="str">
        <f aca="false">IF(Eingaben!$B$18="","",Cashflow!$M$47)</f>
        <v/>
      </c>
      <c r="O18" s="20" t="str">
        <f aca="false">IF(Eingaben!$B$18="","",Cashflow!$M$48)</f>
        <v/>
      </c>
      <c r="P18" s="20" t="str">
        <f aca="false">IF(Eingaben!$B$18="","",Cashflow!$M$49)</f>
        <v/>
      </c>
      <c r="Q18" s="20" t="str">
        <f aca="false">IF(Eingaben!$B$18="","",Cashflow!$M$50)</f>
        <v/>
      </c>
      <c r="R18" s="20" t="str">
        <f aca="false">IF(Eingaben!$B$18="","",Cashflow!$M$51)</f>
        <v/>
      </c>
      <c r="S18" s="20" t="str">
        <f aca="false">IF(Eingaben!$B$18="","",Cashflow!$M$52)</f>
        <v/>
      </c>
      <c r="T18" s="20" t="str">
        <f aca="false">IF(Eingaben!$B$18="","",Cashflow!$M$53)</f>
        <v/>
      </c>
      <c r="U18" s="20" t="str">
        <f aca="false">IF(Eingaben!$B$18="","",Cashflow!$M$54+F18)</f>
        <v/>
      </c>
    </row>
    <row r="19" customFormat="false" ht="15" hidden="false" customHeight="false" outlineLevel="0" collapsed="false">
      <c r="A19" s="28" t="n">
        <v>5</v>
      </c>
      <c r="B19" s="29" t="str">
        <f aca="false">IF(Eingaben!$B$18="","",Eingaben!$B$18)</f>
        <v/>
      </c>
      <c r="C19" s="43" t="n">
        <v>0.02</v>
      </c>
      <c r="D19" s="31" t="str">
        <f aca="false">IF(Eingaben!$B$18="","",Eingaben!$F$18*(1+C19)^10)</f>
        <v/>
      </c>
      <c r="E19" s="30" t="str">
        <f aca="false">IF(Eingaben!$B$18="","",Cashflow!$J$54)</f>
        <v/>
      </c>
      <c r="F19" s="31" t="str">
        <f aca="false">IF(Eingaben!$B$18="","",D19-E19)</f>
        <v/>
      </c>
      <c r="G19" s="31" t="str">
        <f aca="false">IF(Eingaben!$B$18="","",Eingaben!$N$18)</f>
        <v/>
      </c>
      <c r="H19" s="30" t="str">
        <f aca="false">IF(Eingaben!$B$18="","",SUM(Cashflow!$M$45:$M$54))</f>
        <v/>
      </c>
      <c r="I19" s="40" t="str">
        <f aca="false">IF(Eingaben!$B$18="","",H19+F19-G19)</f>
        <v/>
      </c>
      <c r="J19" s="44" t="str">
        <f aca="false">IF(Eingaben!$B$18="","",IFERROR(IRR(K19:U19),"n/v"))</f>
        <v/>
      </c>
      <c r="K19" s="20" t="str">
        <f aca="false">IF(Eingaben!$B$18="","",-G19)</f>
        <v/>
      </c>
      <c r="L19" s="20" t="str">
        <f aca="false">IF(Eingaben!$B$18="","",Cashflow!$M$45)</f>
        <v/>
      </c>
      <c r="M19" s="20" t="str">
        <f aca="false">IF(Eingaben!$B$18="","",Cashflow!$M$46)</f>
        <v/>
      </c>
      <c r="N19" s="20" t="str">
        <f aca="false">IF(Eingaben!$B$18="","",Cashflow!$M$47)</f>
        <v/>
      </c>
      <c r="O19" s="20" t="str">
        <f aca="false">IF(Eingaben!$B$18="","",Cashflow!$M$48)</f>
        <v/>
      </c>
      <c r="P19" s="20" t="str">
        <f aca="false">IF(Eingaben!$B$18="","",Cashflow!$M$49)</f>
        <v/>
      </c>
      <c r="Q19" s="20" t="str">
        <f aca="false">IF(Eingaben!$B$18="","",Cashflow!$M$50)</f>
        <v/>
      </c>
      <c r="R19" s="20" t="str">
        <f aca="false">IF(Eingaben!$B$18="","",Cashflow!$M$51)</f>
        <v/>
      </c>
      <c r="S19" s="20" t="str">
        <f aca="false">IF(Eingaben!$B$18="","",Cashflow!$M$52)</f>
        <v/>
      </c>
      <c r="T19" s="20" t="str">
        <f aca="false">IF(Eingaben!$B$18="","",Cashflow!$M$53)</f>
        <v/>
      </c>
      <c r="U19" s="20" t="str">
        <f aca="false">IF(Eingaben!$B$18="","",Cashflow!$M$54+F19)</f>
        <v/>
      </c>
    </row>
    <row r="20" customFormat="false" ht="15" hidden="false" customHeight="false" outlineLevel="0" collapsed="false">
      <c r="A20" s="35" t="n">
        <v>6</v>
      </c>
      <c r="B20" s="29" t="str">
        <f aca="false">IF(Eingaben!$B$19="","",Eingaben!$B$19)</f>
        <v/>
      </c>
      <c r="C20" s="45" t="n">
        <v>0</v>
      </c>
      <c r="D20" s="36" t="str">
        <f aca="false">IF(Eingaben!$B$19="","",Eingaben!$F$19*(1+C20)^10)</f>
        <v/>
      </c>
      <c r="E20" s="30" t="str">
        <f aca="false">IF(Eingaben!$B$19="","",Cashflow!$J$64)</f>
        <v/>
      </c>
      <c r="F20" s="36" t="str">
        <f aca="false">IF(Eingaben!$B$19="","",D20-E20)</f>
        <v/>
      </c>
      <c r="G20" s="36" t="str">
        <f aca="false">IF(Eingaben!$B$19="","",Eingaben!$N$19)</f>
        <v/>
      </c>
      <c r="H20" s="30" t="str">
        <f aca="false">IF(Eingaben!$B$19="","",SUM(Cashflow!$M$55:$M$64))</f>
        <v/>
      </c>
      <c r="I20" s="42" t="str">
        <f aca="false">IF(Eingaben!$B$19="","",H20+F20-G20)</f>
        <v/>
      </c>
      <c r="J20" s="46" t="str">
        <f aca="false">IF(Eingaben!$B$19="","",IFERROR(IRR(K20:U20),"n/v"))</f>
        <v/>
      </c>
      <c r="K20" s="20" t="str">
        <f aca="false">IF(Eingaben!$B$19="","",-G20)</f>
        <v/>
      </c>
      <c r="L20" s="20" t="str">
        <f aca="false">IF(Eingaben!$B$19="","",Cashflow!$M$55)</f>
        <v/>
      </c>
      <c r="M20" s="20" t="str">
        <f aca="false">IF(Eingaben!$B$19="","",Cashflow!$M$56)</f>
        <v/>
      </c>
      <c r="N20" s="20" t="str">
        <f aca="false">IF(Eingaben!$B$19="","",Cashflow!$M$57)</f>
        <v/>
      </c>
      <c r="O20" s="20" t="str">
        <f aca="false">IF(Eingaben!$B$19="","",Cashflow!$M$58)</f>
        <v/>
      </c>
      <c r="P20" s="20" t="str">
        <f aca="false">IF(Eingaben!$B$19="","",Cashflow!$M$59)</f>
        <v/>
      </c>
      <c r="Q20" s="20" t="str">
        <f aca="false">IF(Eingaben!$B$19="","",Cashflow!$M$60)</f>
        <v/>
      </c>
      <c r="R20" s="20" t="str">
        <f aca="false">IF(Eingaben!$B$19="","",Cashflow!$M$61)</f>
        <v/>
      </c>
      <c r="S20" s="20" t="str">
        <f aca="false">IF(Eingaben!$B$19="","",Cashflow!$M$62)</f>
        <v/>
      </c>
      <c r="T20" s="20" t="str">
        <f aca="false">IF(Eingaben!$B$19="","",Cashflow!$M$63)</f>
        <v/>
      </c>
      <c r="U20" s="20" t="str">
        <f aca="false">IF(Eingaben!$B$19="","",Cashflow!$M$64+F20)</f>
        <v/>
      </c>
    </row>
    <row r="21" customFormat="false" ht="15" hidden="false" customHeight="false" outlineLevel="0" collapsed="false">
      <c r="A21" s="35" t="n">
        <v>6</v>
      </c>
      <c r="B21" s="29" t="str">
        <f aca="false">IF(Eingaben!$B$19="","",Eingaben!$B$19)</f>
        <v/>
      </c>
      <c r="C21" s="45" t="n">
        <v>0.01</v>
      </c>
      <c r="D21" s="36" t="str">
        <f aca="false">IF(Eingaben!$B$19="","",Eingaben!$F$19*(1+C21)^10)</f>
        <v/>
      </c>
      <c r="E21" s="30" t="str">
        <f aca="false">IF(Eingaben!$B$19="","",Cashflow!$J$64)</f>
        <v/>
      </c>
      <c r="F21" s="36" t="str">
        <f aca="false">IF(Eingaben!$B$19="","",D21-E21)</f>
        <v/>
      </c>
      <c r="G21" s="36" t="str">
        <f aca="false">IF(Eingaben!$B$19="","",Eingaben!$N$19)</f>
        <v/>
      </c>
      <c r="H21" s="30" t="str">
        <f aca="false">IF(Eingaben!$B$19="","",SUM(Cashflow!$M$55:$M$64))</f>
        <v/>
      </c>
      <c r="I21" s="42" t="str">
        <f aca="false">IF(Eingaben!$B$19="","",H21+F21-G21)</f>
        <v/>
      </c>
      <c r="J21" s="46" t="str">
        <f aca="false">IF(Eingaben!$B$19="","",IFERROR(IRR(K21:U21),"n/v"))</f>
        <v/>
      </c>
      <c r="K21" s="20" t="str">
        <f aca="false">IF(Eingaben!$B$19="","",-G21)</f>
        <v/>
      </c>
      <c r="L21" s="20" t="str">
        <f aca="false">IF(Eingaben!$B$19="","",Cashflow!$M$55)</f>
        <v/>
      </c>
      <c r="M21" s="20" t="str">
        <f aca="false">IF(Eingaben!$B$19="","",Cashflow!$M$56)</f>
        <v/>
      </c>
      <c r="N21" s="20" t="str">
        <f aca="false">IF(Eingaben!$B$19="","",Cashflow!$M$57)</f>
        <v/>
      </c>
      <c r="O21" s="20" t="str">
        <f aca="false">IF(Eingaben!$B$19="","",Cashflow!$M$58)</f>
        <v/>
      </c>
      <c r="P21" s="20" t="str">
        <f aca="false">IF(Eingaben!$B$19="","",Cashflow!$M$59)</f>
        <v/>
      </c>
      <c r="Q21" s="20" t="str">
        <f aca="false">IF(Eingaben!$B$19="","",Cashflow!$M$60)</f>
        <v/>
      </c>
      <c r="R21" s="20" t="str">
        <f aca="false">IF(Eingaben!$B$19="","",Cashflow!$M$61)</f>
        <v/>
      </c>
      <c r="S21" s="20" t="str">
        <f aca="false">IF(Eingaben!$B$19="","",Cashflow!$M$62)</f>
        <v/>
      </c>
      <c r="T21" s="20" t="str">
        <f aca="false">IF(Eingaben!$B$19="","",Cashflow!$M$63)</f>
        <v/>
      </c>
      <c r="U21" s="20" t="str">
        <f aca="false">IF(Eingaben!$B$19="","",Cashflow!$M$64+F21)</f>
        <v/>
      </c>
    </row>
    <row r="22" customFormat="false" ht="15" hidden="false" customHeight="false" outlineLevel="0" collapsed="false">
      <c r="A22" s="35" t="n">
        <v>6</v>
      </c>
      <c r="B22" s="29" t="str">
        <f aca="false">IF(Eingaben!$B$19="","",Eingaben!$B$19)</f>
        <v/>
      </c>
      <c r="C22" s="45" t="n">
        <v>0.02</v>
      </c>
      <c r="D22" s="36" t="str">
        <f aca="false">IF(Eingaben!$B$19="","",Eingaben!$F$19*(1+C22)^10)</f>
        <v/>
      </c>
      <c r="E22" s="30" t="str">
        <f aca="false">IF(Eingaben!$B$19="","",Cashflow!$J$64)</f>
        <v/>
      </c>
      <c r="F22" s="36" t="str">
        <f aca="false">IF(Eingaben!$B$19="","",D22-E22)</f>
        <v/>
      </c>
      <c r="G22" s="36" t="str">
        <f aca="false">IF(Eingaben!$B$19="","",Eingaben!$N$19)</f>
        <v/>
      </c>
      <c r="H22" s="30" t="str">
        <f aca="false">IF(Eingaben!$B$19="","",SUM(Cashflow!$M$55:$M$64))</f>
        <v/>
      </c>
      <c r="I22" s="42" t="str">
        <f aca="false">IF(Eingaben!$B$19="","",H22+F22-G22)</f>
        <v/>
      </c>
      <c r="J22" s="46" t="str">
        <f aca="false">IF(Eingaben!$B$19="","",IFERROR(IRR(K22:U22),"n/v"))</f>
        <v/>
      </c>
      <c r="K22" s="20" t="str">
        <f aca="false">IF(Eingaben!$B$19="","",-G22)</f>
        <v/>
      </c>
      <c r="L22" s="20" t="str">
        <f aca="false">IF(Eingaben!$B$19="","",Cashflow!$M$55)</f>
        <v/>
      </c>
      <c r="M22" s="20" t="str">
        <f aca="false">IF(Eingaben!$B$19="","",Cashflow!$M$56)</f>
        <v/>
      </c>
      <c r="N22" s="20" t="str">
        <f aca="false">IF(Eingaben!$B$19="","",Cashflow!$M$57)</f>
        <v/>
      </c>
      <c r="O22" s="20" t="str">
        <f aca="false">IF(Eingaben!$B$19="","",Cashflow!$M$58)</f>
        <v/>
      </c>
      <c r="P22" s="20" t="str">
        <f aca="false">IF(Eingaben!$B$19="","",Cashflow!$M$59)</f>
        <v/>
      </c>
      <c r="Q22" s="20" t="str">
        <f aca="false">IF(Eingaben!$B$19="","",Cashflow!$M$60)</f>
        <v/>
      </c>
      <c r="R22" s="20" t="str">
        <f aca="false">IF(Eingaben!$B$19="","",Cashflow!$M$61)</f>
        <v/>
      </c>
      <c r="S22" s="20" t="str">
        <f aca="false">IF(Eingaben!$B$19="","",Cashflow!$M$62)</f>
        <v/>
      </c>
      <c r="T22" s="20" t="str">
        <f aca="false">IF(Eingaben!$B$19="","",Cashflow!$M$63)</f>
        <v/>
      </c>
      <c r="U22" s="20" t="str">
        <f aca="false">IF(Eingaben!$B$19="","",Cashflow!$M$64+F22)</f>
        <v/>
      </c>
    </row>
    <row r="23" customFormat="false" ht="15" hidden="false" customHeight="false" outlineLevel="0" collapsed="false">
      <c r="A23" s="28" t="n">
        <v>7</v>
      </c>
      <c r="B23" s="29" t="str">
        <f aca="false">IF(Eingaben!$B$20="","",Eingaben!$B$20)</f>
        <v/>
      </c>
      <c r="C23" s="43" t="n">
        <v>0</v>
      </c>
      <c r="D23" s="31" t="str">
        <f aca="false">IF(Eingaben!$B$20="","",Eingaben!$F$20*(1+C23)^10)</f>
        <v/>
      </c>
      <c r="E23" s="30" t="str">
        <f aca="false">IF(Eingaben!$B$20="","",Cashflow!$J$74)</f>
        <v/>
      </c>
      <c r="F23" s="31" t="str">
        <f aca="false">IF(Eingaben!$B$20="","",D23-E23)</f>
        <v/>
      </c>
      <c r="G23" s="31" t="str">
        <f aca="false">IF(Eingaben!$B$20="","",Eingaben!$N$20)</f>
        <v/>
      </c>
      <c r="H23" s="30" t="str">
        <f aca="false">IF(Eingaben!$B$20="","",SUM(Cashflow!$M$65:$M$74))</f>
        <v/>
      </c>
      <c r="I23" s="40" t="str">
        <f aca="false">IF(Eingaben!$B$20="","",H23+F23-G23)</f>
        <v/>
      </c>
      <c r="J23" s="44" t="str">
        <f aca="false">IF(Eingaben!$B$20="","",IFERROR(IRR(K23:U23),"n/v"))</f>
        <v/>
      </c>
      <c r="K23" s="20" t="str">
        <f aca="false">IF(Eingaben!$B$20="","",-G23)</f>
        <v/>
      </c>
      <c r="L23" s="20" t="str">
        <f aca="false">IF(Eingaben!$B$20="","",Cashflow!$M$65)</f>
        <v/>
      </c>
      <c r="M23" s="20" t="str">
        <f aca="false">IF(Eingaben!$B$20="","",Cashflow!$M$66)</f>
        <v/>
      </c>
      <c r="N23" s="20" t="str">
        <f aca="false">IF(Eingaben!$B$20="","",Cashflow!$M$67)</f>
        <v/>
      </c>
      <c r="O23" s="20" t="str">
        <f aca="false">IF(Eingaben!$B$20="","",Cashflow!$M$68)</f>
        <v/>
      </c>
      <c r="P23" s="20" t="str">
        <f aca="false">IF(Eingaben!$B$20="","",Cashflow!$M$69)</f>
        <v/>
      </c>
      <c r="Q23" s="20" t="str">
        <f aca="false">IF(Eingaben!$B$20="","",Cashflow!$M$70)</f>
        <v/>
      </c>
      <c r="R23" s="20" t="str">
        <f aca="false">IF(Eingaben!$B$20="","",Cashflow!$M$71)</f>
        <v/>
      </c>
      <c r="S23" s="20" t="str">
        <f aca="false">IF(Eingaben!$B$20="","",Cashflow!$M$72)</f>
        <v/>
      </c>
      <c r="T23" s="20" t="str">
        <f aca="false">IF(Eingaben!$B$20="","",Cashflow!$M$73)</f>
        <v/>
      </c>
      <c r="U23" s="20" t="str">
        <f aca="false">IF(Eingaben!$B$20="","",Cashflow!$M$74+F23)</f>
        <v/>
      </c>
    </row>
    <row r="24" customFormat="false" ht="15" hidden="false" customHeight="false" outlineLevel="0" collapsed="false">
      <c r="A24" s="28" t="n">
        <v>7</v>
      </c>
      <c r="B24" s="29" t="str">
        <f aca="false">IF(Eingaben!$B$20="","",Eingaben!$B$20)</f>
        <v/>
      </c>
      <c r="C24" s="43" t="n">
        <v>0.01</v>
      </c>
      <c r="D24" s="31" t="str">
        <f aca="false">IF(Eingaben!$B$20="","",Eingaben!$F$20*(1+C24)^10)</f>
        <v/>
      </c>
      <c r="E24" s="30" t="str">
        <f aca="false">IF(Eingaben!$B$20="","",Cashflow!$J$74)</f>
        <v/>
      </c>
      <c r="F24" s="31" t="str">
        <f aca="false">IF(Eingaben!$B$20="","",D24-E24)</f>
        <v/>
      </c>
      <c r="G24" s="31" t="str">
        <f aca="false">IF(Eingaben!$B$20="","",Eingaben!$N$20)</f>
        <v/>
      </c>
      <c r="H24" s="30" t="str">
        <f aca="false">IF(Eingaben!$B$20="","",SUM(Cashflow!$M$65:$M$74))</f>
        <v/>
      </c>
      <c r="I24" s="40" t="str">
        <f aca="false">IF(Eingaben!$B$20="","",H24+F24-G24)</f>
        <v/>
      </c>
      <c r="J24" s="44" t="str">
        <f aca="false">IF(Eingaben!$B$20="","",IFERROR(IRR(K24:U24),"n/v"))</f>
        <v/>
      </c>
      <c r="K24" s="20" t="str">
        <f aca="false">IF(Eingaben!$B$20="","",-G24)</f>
        <v/>
      </c>
      <c r="L24" s="20" t="str">
        <f aca="false">IF(Eingaben!$B$20="","",Cashflow!$M$65)</f>
        <v/>
      </c>
      <c r="M24" s="20" t="str">
        <f aca="false">IF(Eingaben!$B$20="","",Cashflow!$M$66)</f>
        <v/>
      </c>
      <c r="N24" s="20" t="str">
        <f aca="false">IF(Eingaben!$B$20="","",Cashflow!$M$67)</f>
        <v/>
      </c>
      <c r="O24" s="20" t="str">
        <f aca="false">IF(Eingaben!$B$20="","",Cashflow!$M$68)</f>
        <v/>
      </c>
      <c r="P24" s="20" t="str">
        <f aca="false">IF(Eingaben!$B$20="","",Cashflow!$M$69)</f>
        <v/>
      </c>
      <c r="Q24" s="20" t="str">
        <f aca="false">IF(Eingaben!$B$20="","",Cashflow!$M$70)</f>
        <v/>
      </c>
      <c r="R24" s="20" t="str">
        <f aca="false">IF(Eingaben!$B$20="","",Cashflow!$M$71)</f>
        <v/>
      </c>
      <c r="S24" s="20" t="str">
        <f aca="false">IF(Eingaben!$B$20="","",Cashflow!$M$72)</f>
        <v/>
      </c>
      <c r="T24" s="20" t="str">
        <f aca="false">IF(Eingaben!$B$20="","",Cashflow!$M$73)</f>
        <v/>
      </c>
      <c r="U24" s="20" t="str">
        <f aca="false">IF(Eingaben!$B$20="","",Cashflow!$M$74+F24)</f>
        <v/>
      </c>
    </row>
    <row r="25" customFormat="false" ht="15" hidden="false" customHeight="false" outlineLevel="0" collapsed="false">
      <c r="A25" s="28" t="n">
        <v>7</v>
      </c>
      <c r="B25" s="29" t="str">
        <f aca="false">IF(Eingaben!$B$20="","",Eingaben!$B$20)</f>
        <v/>
      </c>
      <c r="C25" s="43" t="n">
        <v>0.02</v>
      </c>
      <c r="D25" s="31" t="str">
        <f aca="false">IF(Eingaben!$B$20="","",Eingaben!$F$20*(1+C25)^10)</f>
        <v/>
      </c>
      <c r="E25" s="30" t="str">
        <f aca="false">IF(Eingaben!$B$20="","",Cashflow!$J$74)</f>
        <v/>
      </c>
      <c r="F25" s="31" t="str">
        <f aca="false">IF(Eingaben!$B$20="","",D25-E25)</f>
        <v/>
      </c>
      <c r="G25" s="31" t="str">
        <f aca="false">IF(Eingaben!$B$20="","",Eingaben!$N$20)</f>
        <v/>
      </c>
      <c r="H25" s="30" t="str">
        <f aca="false">IF(Eingaben!$B$20="","",SUM(Cashflow!$M$65:$M$74))</f>
        <v/>
      </c>
      <c r="I25" s="40" t="str">
        <f aca="false">IF(Eingaben!$B$20="","",H25+F25-G25)</f>
        <v/>
      </c>
      <c r="J25" s="44" t="str">
        <f aca="false">IF(Eingaben!$B$20="","",IFERROR(IRR(K25:U25),"n/v"))</f>
        <v/>
      </c>
      <c r="K25" s="20" t="str">
        <f aca="false">IF(Eingaben!$B$20="","",-G25)</f>
        <v/>
      </c>
      <c r="L25" s="20" t="str">
        <f aca="false">IF(Eingaben!$B$20="","",Cashflow!$M$65)</f>
        <v/>
      </c>
      <c r="M25" s="20" t="str">
        <f aca="false">IF(Eingaben!$B$20="","",Cashflow!$M$66)</f>
        <v/>
      </c>
      <c r="N25" s="20" t="str">
        <f aca="false">IF(Eingaben!$B$20="","",Cashflow!$M$67)</f>
        <v/>
      </c>
      <c r="O25" s="20" t="str">
        <f aca="false">IF(Eingaben!$B$20="","",Cashflow!$M$68)</f>
        <v/>
      </c>
      <c r="P25" s="20" t="str">
        <f aca="false">IF(Eingaben!$B$20="","",Cashflow!$M$69)</f>
        <v/>
      </c>
      <c r="Q25" s="20" t="str">
        <f aca="false">IF(Eingaben!$B$20="","",Cashflow!$M$70)</f>
        <v/>
      </c>
      <c r="R25" s="20" t="str">
        <f aca="false">IF(Eingaben!$B$20="","",Cashflow!$M$71)</f>
        <v/>
      </c>
      <c r="S25" s="20" t="str">
        <f aca="false">IF(Eingaben!$B$20="","",Cashflow!$M$72)</f>
        <v/>
      </c>
      <c r="T25" s="20" t="str">
        <f aca="false">IF(Eingaben!$B$20="","",Cashflow!$M$73)</f>
        <v/>
      </c>
      <c r="U25" s="20" t="str">
        <f aca="false">IF(Eingaben!$B$20="","",Cashflow!$M$74+F25)</f>
        <v/>
      </c>
    </row>
    <row r="26" customFormat="false" ht="15" hidden="false" customHeight="false" outlineLevel="0" collapsed="false">
      <c r="A26" s="35" t="n">
        <v>8</v>
      </c>
      <c r="B26" s="29" t="str">
        <f aca="false">IF(Eingaben!$B$21="","",Eingaben!$B$21)</f>
        <v/>
      </c>
      <c r="C26" s="45" t="n">
        <v>0</v>
      </c>
      <c r="D26" s="36" t="str">
        <f aca="false">IF(Eingaben!$B$21="","",Eingaben!$F$21*(1+C26)^10)</f>
        <v/>
      </c>
      <c r="E26" s="30" t="str">
        <f aca="false">IF(Eingaben!$B$21="","",Cashflow!$J$84)</f>
        <v/>
      </c>
      <c r="F26" s="36" t="str">
        <f aca="false">IF(Eingaben!$B$21="","",D26-E26)</f>
        <v/>
      </c>
      <c r="G26" s="36" t="str">
        <f aca="false">IF(Eingaben!$B$21="","",Eingaben!$N$21)</f>
        <v/>
      </c>
      <c r="H26" s="30" t="str">
        <f aca="false">IF(Eingaben!$B$21="","",SUM(Cashflow!$M$75:$M$84))</f>
        <v/>
      </c>
      <c r="I26" s="42" t="str">
        <f aca="false">IF(Eingaben!$B$21="","",H26+F26-G26)</f>
        <v/>
      </c>
      <c r="J26" s="46" t="str">
        <f aca="false">IF(Eingaben!$B$21="","",IFERROR(IRR(K26:U26),"n/v"))</f>
        <v/>
      </c>
      <c r="K26" s="20" t="str">
        <f aca="false">IF(Eingaben!$B$21="","",-G26)</f>
        <v/>
      </c>
      <c r="L26" s="20" t="str">
        <f aca="false">IF(Eingaben!$B$21="","",Cashflow!$M$75)</f>
        <v/>
      </c>
      <c r="M26" s="20" t="str">
        <f aca="false">IF(Eingaben!$B$21="","",Cashflow!$M$76)</f>
        <v/>
      </c>
      <c r="N26" s="20" t="str">
        <f aca="false">IF(Eingaben!$B$21="","",Cashflow!$M$77)</f>
        <v/>
      </c>
      <c r="O26" s="20" t="str">
        <f aca="false">IF(Eingaben!$B$21="","",Cashflow!$M$78)</f>
        <v/>
      </c>
      <c r="P26" s="20" t="str">
        <f aca="false">IF(Eingaben!$B$21="","",Cashflow!$M$79)</f>
        <v/>
      </c>
      <c r="Q26" s="20" t="str">
        <f aca="false">IF(Eingaben!$B$21="","",Cashflow!$M$80)</f>
        <v/>
      </c>
      <c r="R26" s="20" t="str">
        <f aca="false">IF(Eingaben!$B$21="","",Cashflow!$M$81)</f>
        <v/>
      </c>
      <c r="S26" s="20" t="str">
        <f aca="false">IF(Eingaben!$B$21="","",Cashflow!$M$82)</f>
        <v/>
      </c>
      <c r="T26" s="20" t="str">
        <f aca="false">IF(Eingaben!$B$21="","",Cashflow!$M$83)</f>
        <v/>
      </c>
      <c r="U26" s="20" t="str">
        <f aca="false">IF(Eingaben!$B$21="","",Cashflow!$M$84+F26)</f>
        <v/>
      </c>
    </row>
    <row r="27" customFormat="false" ht="15" hidden="false" customHeight="false" outlineLevel="0" collapsed="false">
      <c r="A27" s="35" t="n">
        <v>8</v>
      </c>
      <c r="B27" s="29" t="str">
        <f aca="false">IF(Eingaben!$B$21="","",Eingaben!$B$21)</f>
        <v/>
      </c>
      <c r="C27" s="45" t="n">
        <v>0.01</v>
      </c>
      <c r="D27" s="36" t="str">
        <f aca="false">IF(Eingaben!$B$21="","",Eingaben!$F$21*(1+C27)^10)</f>
        <v/>
      </c>
      <c r="E27" s="30" t="str">
        <f aca="false">IF(Eingaben!$B$21="","",Cashflow!$J$84)</f>
        <v/>
      </c>
      <c r="F27" s="36" t="str">
        <f aca="false">IF(Eingaben!$B$21="","",D27-E27)</f>
        <v/>
      </c>
      <c r="G27" s="36" t="str">
        <f aca="false">IF(Eingaben!$B$21="","",Eingaben!$N$21)</f>
        <v/>
      </c>
      <c r="H27" s="30" t="str">
        <f aca="false">IF(Eingaben!$B$21="","",SUM(Cashflow!$M$75:$M$84))</f>
        <v/>
      </c>
      <c r="I27" s="42" t="str">
        <f aca="false">IF(Eingaben!$B$21="","",H27+F27-G27)</f>
        <v/>
      </c>
      <c r="J27" s="46" t="str">
        <f aca="false">IF(Eingaben!$B$21="","",IFERROR(IRR(K27:U27),"n/v"))</f>
        <v/>
      </c>
      <c r="K27" s="20" t="str">
        <f aca="false">IF(Eingaben!$B$21="","",-G27)</f>
        <v/>
      </c>
      <c r="L27" s="20" t="str">
        <f aca="false">IF(Eingaben!$B$21="","",Cashflow!$M$75)</f>
        <v/>
      </c>
      <c r="M27" s="20" t="str">
        <f aca="false">IF(Eingaben!$B$21="","",Cashflow!$M$76)</f>
        <v/>
      </c>
      <c r="N27" s="20" t="str">
        <f aca="false">IF(Eingaben!$B$21="","",Cashflow!$M$77)</f>
        <v/>
      </c>
      <c r="O27" s="20" t="str">
        <f aca="false">IF(Eingaben!$B$21="","",Cashflow!$M$78)</f>
        <v/>
      </c>
      <c r="P27" s="20" t="str">
        <f aca="false">IF(Eingaben!$B$21="","",Cashflow!$M$79)</f>
        <v/>
      </c>
      <c r="Q27" s="20" t="str">
        <f aca="false">IF(Eingaben!$B$21="","",Cashflow!$M$80)</f>
        <v/>
      </c>
      <c r="R27" s="20" t="str">
        <f aca="false">IF(Eingaben!$B$21="","",Cashflow!$M$81)</f>
        <v/>
      </c>
      <c r="S27" s="20" t="str">
        <f aca="false">IF(Eingaben!$B$21="","",Cashflow!$M$82)</f>
        <v/>
      </c>
      <c r="T27" s="20" t="str">
        <f aca="false">IF(Eingaben!$B$21="","",Cashflow!$M$83)</f>
        <v/>
      </c>
      <c r="U27" s="20" t="str">
        <f aca="false">IF(Eingaben!$B$21="","",Cashflow!$M$84+F27)</f>
        <v/>
      </c>
    </row>
    <row r="28" customFormat="false" ht="15" hidden="false" customHeight="false" outlineLevel="0" collapsed="false">
      <c r="A28" s="35" t="n">
        <v>8</v>
      </c>
      <c r="B28" s="29" t="str">
        <f aca="false">IF(Eingaben!$B$21="","",Eingaben!$B$21)</f>
        <v/>
      </c>
      <c r="C28" s="45" t="n">
        <v>0.02</v>
      </c>
      <c r="D28" s="36" t="str">
        <f aca="false">IF(Eingaben!$B$21="","",Eingaben!$F$21*(1+C28)^10)</f>
        <v/>
      </c>
      <c r="E28" s="30" t="str">
        <f aca="false">IF(Eingaben!$B$21="","",Cashflow!$J$84)</f>
        <v/>
      </c>
      <c r="F28" s="36" t="str">
        <f aca="false">IF(Eingaben!$B$21="","",D28-E28)</f>
        <v/>
      </c>
      <c r="G28" s="36" t="str">
        <f aca="false">IF(Eingaben!$B$21="","",Eingaben!$N$21)</f>
        <v/>
      </c>
      <c r="H28" s="30" t="str">
        <f aca="false">IF(Eingaben!$B$21="","",SUM(Cashflow!$M$75:$M$84))</f>
        <v/>
      </c>
      <c r="I28" s="42" t="str">
        <f aca="false">IF(Eingaben!$B$21="","",H28+F28-G28)</f>
        <v/>
      </c>
      <c r="J28" s="46" t="str">
        <f aca="false">IF(Eingaben!$B$21="","",IFERROR(IRR(K28:U28),"n/v"))</f>
        <v/>
      </c>
      <c r="K28" s="20" t="str">
        <f aca="false">IF(Eingaben!$B$21="","",-G28)</f>
        <v/>
      </c>
      <c r="L28" s="20" t="str">
        <f aca="false">IF(Eingaben!$B$21="","",Cashflow!$M$75)</f>
        <v/>
      </c>
      <c r="M28" s="20" t="str">
        <f aca="false">IF(Eingaben!$B$21="","",Cashflow!$M$76)</f>
        <v/>
      </c>
      <c r="N28" s="20" t="str">
        <f aca="false">IF(Eingaben!$B$21="","",Cashflow!$M$77)</f>
        <v/>
      </c>
      <c r="O28" s="20" t="str">
        <f aca="false">IF(Eingaben!$B$21="","",Cashflow!$M$78)</f>
        <v/>
      </c>
      <c r="P28" s="20" t="str">
        <f aca="false">IF(Eingaben!$B$21="","",Cashflow!$M$79)</f>
        <v/>
      </c>
      <c r="Q28" s="20" t="str">
        <f aca="false">IF(Eingaben!$B$21="","",Cashflow!$M$80)</f>
        <v/>
      </c>
      <c r="R28" s="20" t="str">
        <f aca="false">IF(Eingaben!$B$21="","",Cashflow!$M$81)</f>
        <v/>
      </c>
      <c r="S28" s="20" t="str">
        <f aca="false">IF(Eingaben!$B$21="","",Cashflow!$M$82)</f>
        <v/>
      </c>
      <c r="T28" s="20" t="str">
        <f aca="false">IF(Eingaben!$B$21="","",Cashflow!$M$83)</f>
        <v/>
      </c>
      <c r="U28" s="20" t="str">
        <f aca="false">IF(Eingaben!$B$21="","",Cashflow!$M$84+F28)</f>
        <v/>
      </c>
    </row>
    <row r="29" customFormat="false" ht="15" hidden="false" customHeight="false" outlineLevel="0" collapsed="false">
      <c r="A29" s="28" t="n">
        <v>9</v>
      </c>
      <c r="B29" s="29" t="str">
        <f aca="false">IF(Eingaben!$B$22="","",Eingaben!$B$22)</f>
        <v/>
      </c>
      <c r="C29" s="43" t="n">
        <v>0</v>
      </c>
      <c r="D29" s="31" t="str">
        <f aca="false">IF(Eingaben!$B$22="","",Eingaben!$F$22*(1+C29)^10)</f>
        <v/>
      </c>
      <c r="E29" s="30" t="str">
        <f aca="false">IF(Eingaben!$B$22="","",Cashflow!$J$94)</f>
        <v/>
      </c>
      <c r="F29" s="31" t="str">
        <f aca="false">IF(Eingaben!$B$22="","",D29-E29)</f>
        <v/>
      </c>
      <c r="G29" s="31" t="str">
        <f aca="false">IF(Eingaben!$B$22="","",Eingaben!$N$22)</f>
        <v/>
      </c>
      <c r="H29" s="30" t="str">
        <f aca="false">IF(Eingaben!$B$22="","",SUM(Cashflow!$M$85:$M$94))</f>
        <v/>
      </c>
      <c r="I29" s="40" t="str">
        <f aca="false">IF(Eingaben!$B$22="","",H29+F29-G29)</f>
        <v/>
      </c>
      <c r="J29" s="44" t="str">
        <f aca="false">IF(Eingaben!$B$22="","",IFERROR(IRR(K29:U29),"n/v"))</f>
        <v/>
      </c>
      <c r="K29" s="20" t="str">
        <f aca="false">IF(Eingaben!$B$22="","",-G29)</f>
        <v/>
      </c>
      <c r="L29" s="20" t="str">
        <f aca="false">IF(Eingaben!$B$22="","",Cashflow!$M$85)</f>
        <v/>
      </c>
      <c r="M29" s="20" t="str">
        <f aca="false">IF(Eingaben!$B$22="","",Cashflow!$M$86)</f>
        <v/>
      </c>
      <c r="N29" s="20" t="str">
        <f aca="false">IF(Eingaben!$B$22="","",Cashflow!$M$87)</f>
        <v/>
      </c>
      <c r="O29" s="20" t="str">
        <f aca="false">IF(Eingaben!$B$22="","",Cashflow!$M$88)</f>
        <v/>
      </c>
      <c r="P29" s="20" t="str">
        <f aca="false">IF(Eingaben!$B$22="","",Cashflow!$M$89)</f>
        <v/>
      </c>
      <c r="Q29" s="20" t="str">
        <f aca="false">IF(Eingaben!$B$22="","",Cashflow!$M$90)</f>
        <v/>
      </c>
      <c r="R29" s="20" t="str">
        <f aca="false">IF(Eingaben!$B$22="","",Cashflow!$M$91)</f>
        <v/>
      </c>
      <c r="S29" s="20" t="str">
        <f aca="false">IF(Eingaben!$B$22="","",Cashflow!$M$92)</f>
        <v/>
      </c>
      <c r="T29" s="20" t="str">
        <f aca="false">IF(Eingaben!$B$22="","",Cashflow!$M$93)</f>
        <v/>
      </c>
      <c r="U29" s="20" t="str">
        <f aca="false">IF(Eingaben!$B$22="","",Cashflow!$M$94+F29)</f>
        <v/>
      </c>
    </row>
    <row r="30" customFormat="false" ht="15" hidden="false" customHeight="false" outlineLevel="0" collapsed="false">
      <c r="A30" s="28" t="n">
        <v>9</v>
      </c>
      <c r="B30" s="29" t="str">
        <f aca="false">IF(Eingaben!$B$22="","",Eingaben!$B$22)</f>
        <v/>
      </c>
      <c r="C30" s="43" t="n">
        <v>0.01</v>
      </c>
      <c r="D30" s="31" t="str">
        <f aca="false">IF(Eingaben!$B$22="","",Eingaben!$F$22*(1+C30)^10)</f>
        <v/>
      </c>
      <c r="E30" s="30" t="str">
        <f aca="false">IF(Eingaben!$B$22="","",Cashflow!$J$94)</f>
        <v/>
      </c>
      <c r="F30" s="31" t="str">
        <f aca="false">IF(Eingaben!$B$22="","",D30-E30)</f>
        <v/>
      </c>
      <c r="G30" s="31" t="str">
        <f aca="false">IF(Eingaben!$B$22="","",Eingaben!$N$22)</f>
        <v/>
      </c>
      <c r="H30" s="30" t="str">
        <f aca="false">IF(Eingaben!$B$22="","",SUM(Cashflow!$M$85:$M$94))</f>
        <v/>
      </c>
      <c r="I30" s="40" t="str">
        <f aca="false">IF(Eingaben!$B$22="","",H30+F30-G30)</f>
        <v/>
      </c>
      <c r="J30" s="44" t="str">
        <f aca="false">IF(Eingaben!$B$22="","",IFERROR(IRR(K30:U30),"n/v"))</f>
        <v/>
      </c>
      <c r="K30" s="20" t="str">
        <f aca="false">IF(Eingaben!$B$22="","",-G30)</f>
        <v/>
      </c>
      <c r="L30" s="20" t="str">
        <f aca="false">IF(Eingaben!$B$22="","",Cashflow!$M$85)</f>
        <v/>
      </c>
      <c r="M30" s="20" t="str">
        <f aca="false">IF(Eingaben!$B$22="","",Cashflow!$M$86)</f>
        <v/>
      </c>
      <c r="N30" s="20" t="str">
        <f aca="false">IF(Eingaben!$B$22="","",Cashflow!$M$87)</f>
        <v/>
      </c>
      <c r="O30" s="20" t="str">
        <f aca="false">IF(Eingaben!$B$22="","",Cashflow!$M$88)</f>
        <v/>
      </c>
      <c r="P30" s="20" t="str">
        <f aca="false">IF(Eingaben!$B$22="","",Cashflow!$M$89)</f>
        <v/>
      </c>
      <c r="Q30" s="20" t="str">
        <f aca="false">IF(Eingaben!$B$22="","",Cashflow!$M$90)</f>
        <v/>
      </c>
      <c r="R30" s="20" t="str">
        <f aca="false">IF(Eingaben!$B$22="","",Cashflow!$M$91)</f>
        <v/>
      </c>
      <c r="S30" s="20" t="str">
        <f aca="false">IF(Eingaben!$B$22="","",Cashflow!$M$92)</f>
        <v/>
      </c>
      <c r="T30" s="20" t="str">
        <f aca="false">IF(Eingaben!$B$22="","",Cashflow!$M$93)</f>
        <v/>
      </c>
      <c r="U30" s="20" t="str">
        <f aca="false">IF(Eingaben!$B$22="","",Cashflow!$M$94+F30)</f>
        <v/>
      </c>
    </row>
    <row r="31" customFormat="false" ht="15" hidden="false" customHeight="false" outlineLevel="0" collapsed="false">
      <c r="A31" s="28" t="n">
        <v>9</v>
      </c>
      <c r="B31" s="29" t="str">
        <f aca="false">IF(Eingaben!$B$22="","",Eingaben!$B$22)</f>
        <v/>
      </c>
      <c r="C31" s="43" t="n">
        <v>0.02</v>
      </c>
      <c r="D31" s="31" t="str">
        <f aca="false">IF(Eingaben!$B$22="","",Eingaben!$F$22*(1+C31)^10)</f>
        <v/>
      </c>
      <c r="E31" s="30" t="str">
        <f aca="false">IF(Eingaben!$B$22="","",Cashflow!$J$94)</f>
        <v/>
      </c>
      <c r="F31" s="31" t="str">
        <f aca="false">IF(Eingaben!$B$22="","",D31-E31)</f>
        <v/>
      </c>
      <c r="G31" s="31" t="str">
        <f aca="false">IF(Eingaben!$B$22="","",Eingaben!$N$22)</f>
        <v/>
      </c>
      <c r="H31" s="30" t="str">
        <f aca="false">IF(Eingaben!$B$22="","",SUM(Cashflow!$M$85:$M$94))</f>
        <v/>
      </c>
      <c r="I31" s="40" t="str">
        <f aca="false">IF(Eingaben!$B$22="","",H31+F31-G31)</f>
        <v/>
      </c>
      <c r="J31" s="44" t="str">
        <f aca="false">IF(Eingaben!$B$22="","",IFERROR(IRR(K31:U31),"n/v"))</f>
        <v/>
      </c>
      <c r="K31" s="20" t="str">
        <f aca="false">IF(Eingaben!$B$22="","",-G31)</f>
        <v/>
      </c>
      <c r="L31" s="20" t="str">
        <f aca="false">IF(Eingaben!$B$22="","",Cashflow!$M$85)</f>
        <v/>
      </c>
      <c r="M31" s="20" t="str">
        <f aca="false">IF(Eingaben!$B$22="","",Cashflow!$M$86)</f>
        <v/>
      </c>
      <c r="N31" s="20" t="str">
        <f aca="false">IF(Eingaben!$B$22="","",Cashflow!$M$87)</f>
        <v/>
      </c>
      <c r="O31" s="20" t="str">
        <f aca="false">IF(Eingaben!$B$22="","",Cashflow!$M$88)</f>
        <v/>
      </c>
      <c r="P31" s="20" t="str">
        <f aca="false">IF(Eingaben!$B$22="","",Cashflow!$M$89)</f>
        <v/>
      </c>
      <c r="Q31" s="20" t="str">
        <f aca="false">IF(Eingaben!$B$22="","",Cashflow!$M$90)</f>
        <v/>
      </c>
      <c r="R31" s="20" t="str">
        <f aca="false">IF(Eingaben!$B$22="","",Cashflow!$M$91)</f>
        <v/>
      </c>
      <c r="S31" s="20" t="str">
        <f aca="false">IF(Eingaben!$B$22="","",Cashflow!$M$92)</f>
        <v/>
      </c>
      <c r="T31" s="20" t="str">
        <f aca="false">IF(Eingaben!$B$22="","",Cashflow!$M$93)</f>
        <v/>
      </c>
      <c r="U31" s="20" t="str">
        <f aca="false">IF(Eingaben!$B$22="","",Cashflow!$M$94+F31)</f>
        <v/>
      </c>
    </row>
    <row r="32" customFormat="false" ht="15" hidden="false" customHeight="false" outlineLevel="0" collapsed="false">
      <c r="A32" s="35" t="n">
        <v>10</v>
      </c>
      <c r="B32" s="29" t="str">
        <f aca="false">IF(Eingaben!$B$23="","",Eingaben!$B$23)</f>
        <v/>
      </c>
      <c r="C32" s="45" t="n">
        <v>0</v>
      </c>
      <c r="D32" s="36" t="str">
        <f aca="false">IF(Eingaben!$B$23="","",Eingaben!$F$23*(1+C32)^10)</f>
        <v/>
      </c>
      <c r="E32" s="30" t="str">
        <f aca="false">IF(Eingaben!$B$23="","",Cashflow!$J$104)</f>
        <v/>
      </c>
      <c r="F32" s="36" t="str">
        <f aca="false">IF(Eingaben!$B$23="","",D32-E32)</f>
        <v/>
      </c>
      <c r="G32" s="36" t="str">
        <f aca="false">IF(Eingaben!$B$23="","",Eingaben!$N$23)</f>
        <v/>
      </c>
      <c r="H32" s="30" t="str">
        <f aca="false">IF(Eingaben!$B$23="","",SUM(Cashflow!$M$95:$M$104))</f>
        <v/>
      </c>
      <c r="I32" s="42" t="str">
        <f aca="false">IF(Eingaben!$B$23="","",H32+F32-G32)</f>
        <v/>
      </c>
      <c r="J32" s="46" t="str">
        <f aca="false">IF(Eingaben!$B$23="","",IFERROR(IRR(K32:U32),"n/v"))</f>
        <v/>
      </c>
      <c r="K32" s="20" t="str">
        <f aca="false">IF(Eingaben!$B$23="","",-G32)</f>
        <v/>
      </c>
      <c r="L32" s="20" t="str">
        <f aca="false">IF(Eingaben!$B$23="","",Cashflow!$M$95)</f>
        <v/>
      </c>
      <c r="M32" s="20" t="str">
        <f aca="false">IF(Eingaben!$B$23="","",Cashflow!$M$96)</f>
        <v/>
      </c>
      <c r="N32" s="20" t="str">
        <f aca="false">IF(Eingaben!$B$23="","",Cashflow!$M$97)</f>
        <v/>
      </c>
      <c r="O32" s="20" t="str">
        <f aca="false">IF(Eingaben!$B$23="","",Cashflow!$M$98)</f>
        <v/>
      </c>
      <c r="P32" s="20" t="str">
        <f aca="false">IF(Eingaben!$B$23="","",Cashflow!$M$99)</f>
        <v/>
      </c>
      <c r="Q32" s="20" t="str">
        <f aca="false">IF(Eingaben!$B$23="","",Cashflow!$M$100)</f>
        <v/>
      </c>
      <c r="R32" s="20" t="str">
        <f aca="false">IF(Eingaben!$B$23="","",Cashflow!$M$101)</f>
        <v/>
      </c>
      <c r="S32" s="20" t="str">
        <f aca="false">IF(Eingaben!$B$23="","",Cashflow!$M$102)</f>
        <v/>
      </c>
      <c r="T32" s="20" t="str">
        <f aca="false">IF(Eingaben!$B$23="","",Cashflow!$M$103)</f>
        <v/>
      </c>
      <c r="U32" s="20" t="str">
        <f aca="false">IF(Eingaben!$B$23="","",Cashflow!$M$104+F32)</f>
        <v/>
      </c>
    </row>
    <row r="33" customFormat="false" ht="15" hidden="false" customHeight="false" outlineLevel="0" collapsed="false">
      <c r="A33" s="35" t="n">
        <v>10</v>
      </c>
      <c r="B33" s="29" t="str">
        <f aca="false">IF(Eingaben!$B$23="","",Eingaben!$B$23)</f>
        <v/>
      </c>
      <c r="C33" s="45" t="n">
        <v>0.01</v>
      </c>
      <c r="D33" s="36" t="str">
        <f aca="false">IF(Eingaben!$B$23="","",Eingaben!$F$23*(1+C33)^10)</f>
        <v/>
      </c>
      <c r="E33" s="30" t="str">
        <f aca="false">IF(Eingaben!$B$23="","",Cashflow!$J$104)</f>
        <v/>
      </c>
      <c r="F33" s="36" t="str">
        <f aca="false">IF(Eingaben!$B$23="","",D33-E33)</f>
        <v/>
      </c>
      <c r="G33" s="36" t="str">
        <f aca="false">IF(Eingaben!$B$23="","",Eingaben!$N$23)</f>
        <v/>
      </c>
      <c r="H33" s="30" t="str">
        <f aca="false">IF(Eingaben!$B$23="","",SUM(Cashflow!$M$95:$M$104))</f>
        <v/>
      </c>
      <c r="I33" s="42" t="str">
        <f aca="false">IF(Eingaben!$B$23="","",H33+F33-G33)</f>
        <v/>
      </c>
      <c r="J33" s="46" t="str">
        <f aca="false">IF(Eingaben!$B$23="","",IFERROR(IRR(K33:U33),"n/v"))</f>
        <v/>
      </c>
      <c r="K33" s="20" t="str">
        <f aca="false">IF(Eingaben!$B$23="","",-G33)</f>
        <v/>
      </c>
      <c r="L33" s="20" t="str">
        <f aca="false">IF(Eingaben!$B$23="","",Cashflow!$M$95)</f>
        <v/>
      </c>
      <c r="M33" s="20" t="str">
        <f aca="false">IF(Eingaben!$B$23="","",Cashflow!$M$96)</f>
        <v/>
      </c>
      <c r="N33" s="20" t="str">
        <f aca="false">IF(Eingaben!$B$23="","",Cashflow!$M$97)</f>
        <v/>
      </c>
      <c r="O33" s="20" t="str">
        <f aca="false">IF(Eingaben!$B$23="","",Cashflow!$M$98)</f>
        <v/>
      </c>
      <c r="P33" s="20" t="str">
        <f aca="false">IF(Eingaben!$B$23="","",Cashflow!$M$99)</f>
        <v/>
      </c>
      <c r="Q33" s="20" t="str">
        <f aca="false">IF(Eingaben!$B$23="","",Cashflow!$M$100)</f>
        <v/>
      </c>
      <c r="R33" s="20" t="str">
        <f aca="false">IF(Eingaben!$B$23="","",Cashflow!$M$101)</f>
        <v/>
      </c>
      <c r="S33" s="20" t="str">
        <f aca="false">IF(Eingaben!$B$23="","",Cashflow!$M$102)</f>
        <v/>
      </c>
      <c r="T33" s="20" t="str">
        <f aca="false">IF(Eingaben!$B$23="","",Cashflow!$M$103)</f>
        <v/>
      </c>
      <c r="U33" s="20" t="str">
        <f aca="false">IF(Eingaben!$B$23="","",Cashflow!$M$104+F33)</f>
        <v/>
      </c>
    </row>
    <row r="34" customFormat="false" ht="15" hidden="false" customHeight="false" outlineLevel="0" collapsed="false">
      <c r="A34" s="35" t="n">
        <v>10</v>
      </c>
      <c r="B34" s="29" t="str">
        <f aca="false">IF(Eingaben!$B$23="","",Eingaben!$B$23)</f>
        <v/>
      </c>
      <c r="C34" s="45" t="n">
        <v>0.02</v>
      </c>
      <c r="D34" s="36" t="str">
        <f aca="false">IF(Eingaben!$B$23="","",Eingaben!$F$23*(1+C34)^10)</f>
        <v/>
      </c>
      <c r="E34" s="30" t="str">
        <f aca="false">IF(Eingaben!$B$23="","",Cashflow!$J$104)</f>
        <v/>
      </c>
      <c r="F34" s="36" t="str">
        <f aca="false">IF(Eingaben!$B$23="","",D34-E34)</f>
        <v/>
      </c>
      <c r="G34" s="36" t="str">
        <f aca="false">IF(Eingaben!$B$23="","",Eingaben!$N$23)</f>
        <v/>
      </c>
      <c r="H34" s="30" t="str">
        <f aca="false">IF(Eingaben!$B$23="","",SUM(Cashflow!$M$95:$M$104))</f>
        <v/>
      </c>
      <c r="I34" s="42" t="str">
        <f aca="false">IF(Eingaben!$B$23="","",H34+F34-G34)</f>
        <v/>
      </c>
      <c r="J34" s="46" t="str">
        <f aca="false">IF(Eingaben!$B$23="","",IFERROR(IRR(K34:U34),"n/v"))</f>
        <v/>
      </c>
      <c r="K34" s="20" t="str">
        <f aca="false">IF(Eingaben!$B$23="","",-G34)</f>
        <v/>
      </c>
      <c r="L34" s="20" t="str">
        <f aca="false">IF(Eingaben!$B$23="","",Cashflow!$M$95)</f>
        <v/>
      </c>
      <c r="M34" s="20" t="str">
        <f aca="false">IF(Eingaben!$B$23="","",Cashflow!$M$96)</f>
        <v/>
      </c>
      <c r="N34" s="20" t="str">
        <f aca="false">IF(Eingaben!$B$23="","",Cashflow!$M$97)</f>
        <v/>
      </c>
      <c r="O34" s="20" t="str">
        <f aca="false">IF(Eingaben!$B$23="","",Cashflow!$M$98)</f>
        <v/>
      </c>
      <c r="P34" s="20" t="str">
        <f aca="false">IF(Eingaben!$B$23="","",Cashflow!$M$99)</f>
        <v/>
      </c>
      <c r="Q34" s="20" t="str">
        <f aca="false">IF(Eingaben!$B$23="","",Cashflow!$M$100)</f>
        <v/>
      </c>
      <c r="R34" s="20" t="str">
        <f aca="false">IF(Eingaben!$B$23="","",Cashflow!$M$101)</f>
        <v/>
      </c>
      <c r="S34" s="20" t="str">
        <f aca="false">IF(Eingaben!$B$23="","",Cashflow!$M$102)</f>
        <v/>
      </c>
      <c r="T34" s="20" t="str">
        <f aca="false">IF(Eingaben!$B$23="","",Cashflow!$M$103)</f>
        <v/>
      </c>
      <c r="U34" s="20" t="str">
        <f aca="false">IF(Eingaben!$B$23="","",Cashflow!$M$104+F34)</f>
        <v/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2026-07-25T05:39:22Z</dcterms:created>
  <dc:creator>openpyxl</dc:creator>
  <dc:description/>
  <dc:language>en-US</dc:language>
  <cp:lastModifiedBy/>
  <dcterms:modified xsi:type="dcterms:W3CDTF">2026-07-25T05:39:25Z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